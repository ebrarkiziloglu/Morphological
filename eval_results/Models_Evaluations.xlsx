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EWEST Eval" sheetId="1" r:id="rId5"/>
  </sheets>
  <definedNames/>
  <calcPr/>
</workbook>
</file>

<file path=xl/sharedStrings.xml><?xml version="1.0" encoding="utf-8"?>
<sst xmlns="http://schemas.openxmlformats.org/spreadsheetml/2006/main" count="154" uniqueCount="82">
  <si>
    <t>5 epochs</t>
  </si>
  <si>
    <t>#</t>
  </si>
  <si>
    <t>Configurations</t>
  </si>
  <si>
    <t>L1 = phase 1</t>
  </si>
  <si>
    <t>Reset embed?</t>
  </si>
  <si>
    <t>L2 = phase 2</t>
  </si>
  <si>
    <t>L1 Languages:</t>
  </si>
  <si>
    <t>Regular / Shifted DE - only phase 2</t>
  </si>
  <si>
    <t>--</t>
  </si>
  <si>
    <t>regular / shifted</t>
  </si>
  <si>
    <t>English NLLB</t>
  </si>
  <si>
    <t>Regular L1</t>
  </si>
  <si>
    <t>regular</t>
  </si>
  <si>
    <t>Turkish NLLB</t>
  </si>
  <si>
    <t>Shuffled L1</t>
  </si>
  <si>
    <t>shuffled</t>
  </si>
  <si>
    <t>Turkish NLLB Stripped</t>
  </si>
  <si>
    <t>--&gt; case suffixes were removed.</t>
  </si>
  <si>
    <t>Regular L1 + regular DE</t>
  </si>
  <si>
    <t>Turkish NLLB Stripped Nominal</t>
  </si>
  <si>
    <t>--&gt; all nominal morphology were removed.</t>
  </si>
  <si>
    <t>Regular L1 + Embed. reset + regular DE</t>
  </si>
  <si>
    <t>reset embeddings</t>
  </si>
  <si>
    <t>Turkish NLLB Stripped Nominal Infl</t>
  </si>
  <si>
    <t>--&gt; all nominal inflectional morphology were removed. derivational morphology was kept.</t>
  </si>
  <si>
    <t>Regular L1 + DE Shifted</t>
  </si>
  <si>
    <t>shifted</t>
  </si>
  <si>
    <t>Turkish NLLB Stripped Postp</t>
  </si>
  <si>
    <t>--&gt; case suffixes and post-positional words were removed.</t>
  </si>
  <si>
    <t>Regular L1 + Embed. reset + DE Shifted</t>
  </si>
  <si>
    <t>Chinese NLLB</t>
  </si>
  <si>
    <t>Shuffled L1 + regular DE</t>
  </si>
  <si>
    <t>Prep Dat. in German</t>
  </si>
  <si>
    <t>Core Dat. Argument in German</t>
  </si>
  <si>
    <t># Epoch</t>
  </si>
  <si>
    <t>Model</t>
  </si>
  <si>
    <t>Ablative_TR</t>
  </si>
  <si>
    <t>Instrumental_TR</t>
  </si>
  <si>
    <t>Locative_TR</t>
  </si>
  <si>
    <t>Mixed_TR</t>
  </si>
  <si>
    <t>NaN_prep</t>
  </si>
  <si>
    <t>Aggregated</t>
  </si>
  <si>
    <t>dative-case</t>
  </si>
  <si>
    <t>no-case</t>
  </si>
  <si>
    <t>other-case</t>
  </si>
  <si>
    <t>TOTAL</t>
  </si>
  <si>
    <t>EN + Regular</t>
  </si>
  <si>
    <t>EN + Shuffled</t>
  </si>
  <si>
    <t>TR + Regular</t>
  </si>
  <si>
    <t>TR + Shuffled</t>
  </si>
  <si>
    <t>TR + Stripped Nominal_infl</t>
  </si>
  <si>
    <t>TR + Stripped Nominal_infl Shuffled</t>
  </si>
  <si>
    <t>TR + Stripped Nominal</t>
  </si>
  <si>
    <t>TR + Stripped Nominal Shuffled</t>
  </si>
  <si>
    <t>TR + Stripped Postp</t>
  </si>
  <si>
    <t>TR + Stripped Postp Shuffled</t>
  </si>
  <si>
    <t>TR + Stripped</t>
  </si>
  <si>
    <t>TR + Stripped shuffled</t>
  </si>
  <si>
    <t>ZH + Regular</t>
  </si>
  <si>
    <t>ZH + Shuffled</t>
  </si>
  <si>
    <t>DE NLLB Regular</t>
  </si>
  <si>
    <t>EN + DE NLLB</t>
  </si>
  <si>
    <t>EN + Reset Embeds. + DE NLLB</t>
  </si>
  <si>
    <t>EN Shuffled + DE NLLB</t>
  </si>
  <si>
    <t>TR + DE NLLB</t>
  </si>
  <si>
    <t>TR + Reset Embeds. + DE NLLB</t>
  </si>
  <si>
    <t>TR Shuffled + DE NLLB</t>
  </si>
  <si>
    <t>TR Stripped Nominal_infl + DE NLLB</t>
  </si>
  <si>
    <t>TR Stripped Nominal_infl + Reset Embeds. + DE NLLB</t>
  </si>
  <si>
    <t>TR Stripped Nominal_infl + DE NLLB Shuffled</t>
  </si>
  <si>
    <t>TR Stripped Nominal + DE NLLB</t>
  </si>
  <si>
    <t>TR Stripped Nominal + Reset Embeds. + DE NLLB</t>
  </si>
  <si>
    <t>TR Stripped Nominal + DE NLLB Shuffled</t>
  </si>
  <si>
    <t>TR Stripped Postp + DE NLLB</t>
  </si>
  <si>
    <t>TR Stripped Postp + Reset Embeds. + DE NLLB</t>
  </si>
  <si>
    <t>TR Stripped Postp + DE NLLB Shuffled</t>
  </si>
  <si>
    <t>TR Stripped + DE NLLB</t>
  </si>
  <si>
    <t>TR Stripped + Reset Embeds. + DE NLLB</t>
  </si>
  <si>
    <t>TR Stripped + DE NLLB Shuffled</t>
  </si>
  <si>
    <t>ZH + DE NLLB</t>
  </si>
  <si>
    <t>ZH + Reset Embeds. + DE NLLB</t>
  </si>
  <si>
    <t>ZH Shuffled + DE NLLB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</si>
</sst>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</fills>
  <borders count="1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vertical="bottom"/>
    </xf>
    <xf borderId="5" fillId="0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vertical="bottom"/>
    </xf>
    <xf borderId="4" fillId="4" fontId="1" numFmtId="0" xfId="0" applyAlignment="1" applyBorder="1" applyFill="1" applyFont="1">
      <alignment vertical="bottom"/>
    </xf>
    <xf borderId="4" fillId="5" fontId="1" numFmtId="0" xfId="0" applyAlignment="1" applyBorder="1" applyFill="1" applyFont="1">
      <alignment vertical="bottom"/>
    </xf>
    <xf borderId="7" fillId="0" fontId="1" numFmtId="0" xfId="0" applyAlignment="1" applyBorder="1" applyFont="1">
      <alignment vertical="bottom"/>
    </xf>
    <xf borderId="8" fillId="0" fontId="1" numFmtId="0" xfId="0" applyAlignment="1" applyBorder="1" applyFont="1">
      <alignment vertical="bottom"/>
    </xf>
    <xf borderId="8" fillId="0" fontId="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0" fillId="0" fontId="1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2" fontId="2" numFmtId="0" xfId="0" applyAlignment="1" applyFill="1" applyFont="1">
      <alignment vertical="bottom"/>
    </xf>
    <xf borderId="0" fillId="6" fontId="2" numFmtId="0" xfId="0" applyAlignment="1" applyFill="1" applyFont="1">
      <alignment vertical="bottom"/>
    </xf>
    <xf borderId="0" fillId="2" fontId="2" numFmtId="0" xfId="0" applyAlignment="1" applyFill="1" applyFon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5.0" topLeftCell="C16" activePane="bottomRight" state="frozen"/>
      <selection activeCell="C1" sqref="C1" pane="topRight"/>
      <selection activeCell="A16" sqref="A16" pane="bottomLeft"/>
      <selection activeCell="C16" sqref="C16" pane="bottomRight"/>
    </sheetView>
  </sheetViews>
  <sheetFormatPr customHeight="1" defaultColWidth="12.63" defaultRowHeight="15.75"/>
  <cols>
    <col customWidth="1" min="2" max="2" width="28.5"/>
  </cols>
  <sheetData>
    <row r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>
      <c r="A2" s="1"/>
      <c r="B2" s="3"/>
      <c r="C2" s="1" t="s">
        <v>0</v>
      </c>
      <c r="D2" s="1"/>
      <c r="E2" s="1" t="s"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1"/>
      <c r="G3" s="4" t="s">
        <v>6</v>
      </c>
      <c r="H3" s="5"/>
      <c r="I3" s="5"/>
      <c r="J3" s="5"/>
      <c r="K3" s="5"/>
      <c r="L3" s="5"/>
      <c r="M3" s="6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>
      <c r="A4" s="7">
        <v>0.0</v>
      </c>
      <c r="B4" s="8" t="s">
        <v>7</v>
      </c>
      <c r="C4" s="9" t="s">
        <v>8</v>
      </c>
      <c r="D4" s="10" t="s">
        <v>8</v>
      </c>
      <c r="E4" s="9" t="s">
        <v>9</v>
      </c>
      <c r="F4" s="1"/>
      <c r="G4" s="11" t="s">
        <v>10</v>
      </c>
      <c r="H4" s="1"/>
      <c r="I4" s="1"/>
      <c r="J4" s="1"/>
      <c r="K4" s="1"/>
      <c r="L4" s="1"/>
      <c r="M4" s="1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>
      <c r="A5" s="8">
        <v>1.0</v>
      </c>
      <c r="B5" s="8" t="s">
        <v>11</v>
      </c>
      <c r="C5" s="13" t="s">
        <v>12</v>
      </c>
      <c r="D5" s="9" t="s">
        <v>8</v>
      </c>
      <c r="E5" s="9" t="s">
        <v>8</v>
      </c>
      <c r="F5" s="1"/>
      <c r="G5" s="14" t="s">
        <v>13</v>
      </c>
      <c r="H5" s="1"/>
      <c r="I5" s="15"/>
      <c r="J5" s="1"/>
      <c r="K5" s="1"/>
      <c r="L5" s="1"/>
      <c r="M5" s="12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>
      <c r="A6" s="8">
        <v>2.0</v>
      </c>
      <c r="B6" s="8" t="s">
        <v>14</v>
      </c>
      <c r="C6" s="16" t="s">
        <v>15</v>
      </c>
      <c r="D6" s="9" t="s">
        <v>8</v>
      </c>
      <c r="E6" s="9" t="s">
        <v>8</v>
      </c>
      <c r="F6" s="1"/>
      <c r="G6" s="14" t="s">
        <v>16</v>
      </c>
      <c r="H6" s="1"/>
      <c r="I6" s="1"/>
      <c r="J6" s="1" t="s">
        <v>17</v>
      </c>
      <c r="K6" s="1"/>
      <c r="L6" s="1"/>
      <c r="M6" s="12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>
      <c r="A7" s="8">
        <v>3.0</v>
      </c>
      <c r="B7" s="8" t="s">
        <v>18</v>
      </c>
      <c r="C7" s="13" t="s">
        <v>12</v>
      </c>
      <c r="D7" s="9" t="s">
        <v>8</v>
      </c>
      <c r="E7" s="13" t="s">
        <v>12</v>
      </c>
      <c r="F7" s="1"/>
      <c r="G7" s="14" t="s">
        <v>19</v>
      </c>
      <c r="H7" s="1"/>
      <c r="I7" s="1"/>
      <c r="J7" s="1" t="s">
        <v>20</v>
      </c>
      <c r="K7" s="1"/>
      <c r="L7" s="1"/>
      <c r="M7" s="12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>
      <c r="A8" s="8">
        <v>4.0</v>
      </c>
      <c r="B8" s="8" t="s">
        <v>21</v>
      </c>
      <c r="C8" s="13" t="s">
        <v>12</v>
      </c>
      <c r="D8" s="17" t="s">
        <v>22</v>
      </c>
      <c r="E8" s="13" t="s">
        <v>12</v>
      </c>
      <c r="F8" s="1"/>
      <c r="G8" s="14" t="s">
        <v>23</v>
      </c>
      <c r="H8" s="1"/>
      <c r="I8" s="15"/>
      <c r="J8" s="1" t="s">
        <v>24</v>
      </c>
      <c r="K8" s="1"/>
      <c r="L8" s="1"/>
      <c r="M8" s="12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>
      <c r="A9" s="8">
        <v>5.0</v>
      </c>
      <c r="B9" s="8" t="s">
        <v>25</v>
      </c>
      <c r="C9" s="13" t="s">
        <v>12</v>
      </c>
      <c r="D9" s="9" t="s">
        <v>8</v>
      </c>
      <c r="E9" s="18" t="s">
        <v>26</v>
      </c>
      <c r="F9" s="1"/>
      <c r="G9" s="14" t="s">
        <v>27</v>
      </c>
      <c r="H9" s="1"/>
      <c r="I9" s="15"/>
      <c r="J9" s="1" t="s">
        <v>28</v>
      </c>
      <c r="K9" s="1"/>
      <c r="L9" s="1"/>
      <c r="M9" s="12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>
      <c r="A10" s="8">
        <v>6.0</v>
      </c>
      <c r="B10" s="8" t="s">
        <v>29</v>
      </c>
      <c r="C10" s="13" t="s">
        <v>12</v>
      </c>
      <c r="D10" s="17" t="s">
        <v>22</v>
      </c>
      <c r="E10" s="18" t="s">
        <v>26</v>
      </c>
      <c r="F10" s="1"/>
      <c r="G10" s="19" t="s">
        <v>30</v>
      </c>
      <c r="H10" s="20"/>
      <c r="I10" s="21"/>
      <c r="J10" s="20"/>
      <c r="K10" s="20"/>
      <c r="L10" s="20"/>
      <c r="M10" s="22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>
      <c r="A11" s="8">
        <v>7.0</v>
      </c>
      <c r="B11" s="8" t="s">
        <v>31</v>
      </c>
      <c r="C11" s="16" t="s">
        <v>15</v>
      </c>
      <c r="D11" s="9" t="s">
        <v>8</v>
      </c>
      <c r="E11" s="13" t="s">
        <v>12</v>
      </c>
      <c r="F11" s="1"/>
      <c r="G11" s="15"/>
      <c r="H11" s="1"/>
      <c r="I11" s="1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>
      <c r="A12" s="1"/>
      <c r="B12" s="2"/>
      <c r="C12" s="1"/>
      <c r="D12" s="1"/>
      <c r="E12" s="1"/>
      <c r="F12" s="1"/>
      <c r="G12" s="1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>
      <c r="A13" s="1"/>
      <c r="B13" s="2"/>
      <c r="C13" s="23">
        <v>1182.0</v>
      </c>
      <c r="D13" s="23">
        <v>875.0</v>
      </c>
      <c r="E13" s="23">
        <v>4660.0</v>
      </c>
      <c r="F13" s="23">
        <v>1767.0</v>
      </c>
      <c r="G13" s="23">
        <v>334.0</v>
      </c>
      <c r="H13" s="23">
        <f>SUM(C13:G13)</f>
        <v>8818</v>
      </c>
      <c r="I13" s="23">
        <v>254.0</v>
      </c>
      <c r="J13" s="23">
        <v>134.0</v>
      </c>
      <c r="K13" s="23">
        <v>183.0</v>
      </c>
      <c r="L13" s="23">
        <f>SUM(I13:K13)</f>
        <v>571</v>
      </c>
      <c r="M13" s="23">
        <f>SUM(H13,L13)</f>
        <v>9389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>
      <c r="A14" s="1"/>
      <c r="B14" s="2"/>
      <c r="C14" s="24" t="s">
        <v>32</v>
      </c>
      <c r="D14" s="24" t="s">
        <v>32</v>
      </c>
      <c r="E14" s="24" t="s">
        <v>32</v>
      </c>
      <c r="F14" s="24" t="s">
        <v>32</v>
      </c>
      <c r="G14" s="24" t="s">
        <v>32</v>
      </c>
      <c r="H14" s="24" t="s">
        <v>32</v>
      </c>
      <c r="I14" s="25" t="s">
        <v>33</v>
      </c>
      <c r="J14" s="25" t="s">
        <v>33</v>
      </c>
      <c r="K14" s="25" t="s">
        <v>33</v>
      </c>
      <c r="L14" s="25" t="s">
        <v>33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>
      <c r="A15" s="2" t="s">
        <v>34</v>
      </c>
      <c r="B15" s="2" t="s">
        <v>35</v>
      </c>
      <c r="C15" s="26" t="s">
        <v>36</v>
      </c>
      <c r="D15" s="26" t="s">
        <v>37</v>
      </c>
      <c r="E15" s="26" t="s">
        <v>38</v>
      </c>
      <c r="F15" s="26" t="s">
        <v>39</v>
      </c>
      <c r="G15" s="26" t="s">
        <v>40</v>
      </c>
      <c r="H15" s="26" t="s">
        <v>41</v>
      </c>
      <c r="I15" s="27" t="s">
        <v>42</v>
      </c>
      <c r="J15" s="27" t="s">
        <v>43</v>
      </c>
      <c r="K15" s="25" t="s">
        <v>44</v>
      </c>
      <c r="L15" s="25" t="s">
        <v>41</v>
      </c>
      <c r="M15" s="2" t="s">
        <v>45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>
      <c r="A16" s="15">
        <v>0.0</v>
      </c>
      <c r="B16" s="3" t="s">
        <v>46</v>
      </c>
      <c r="C16" s="28">
        <v>53.76</v>
      </c>
      <c r="D16" s="28">
        <v>49.19</v>
      </c>
      <c r="E16" s="28">
        <v>43.53</v>
      </c>
      <c r="F16" s="28">
        <v>42.29</v>
      </c>
      <c r="G16" s="28">
        <v>57.9</v>
      </c>
      <c r="H16" s="28">
        <f>IFERROR(__xludf.DUMMYFUNCTION("ROUND(AVERAGE.WEIGHTED(C16:G16,C$13:G$13),2)"),45.76)</f>
        <v>45.76</v>
      </c>
      <c r="I16" s="28">
        <v>50.24</v>
      </c>
      <c r="J16" s="28">
        <v>48.81</v>
      </c>
      <c r="K16" s="28">
        <v>56.17</v>
      </c>
      <c r="L16" s="23">
        <f>IFERROR(__xludf.DUMMYFUNCTION("ROUND(AVERAGE.WEIGHTED(I16:K16,I$13:K$13),2)"),51.8)</f>
        <v>51.8</v>
      </c>
      <c r="M16" s="23">
        <v>46.12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>
      <c r="A17" s="15">
        <v>0.0</v>
      </c>
      <c r="B17" s="3" t="s">
        <v>47</v>
      </c>
      <c r="C17" s="28">
        <v>51.83</v>
      </c>
      <c r="D17" s="28">
        <v>52.57</v>
      </c>
      <c r="E17" s="28">
        <v>44.07</v>
      </c>
      <c r="F17" s="28">
        <v>46.35</v>
      </c>
      <c r="G17" s="28">
        <v>59.22</v>
      </c>
      <c r="H17" s="28">
        <f>IFERROR(__xludf.DUMMYFUNCTION("ROUND(AVERAGE.WEIGHTED(C17:G17,C$13:G$13),2)"),46.98)</f>
        <v>46.98</v>
      </c>
      <c r="I17" s="28">
        <v>43.39</v>
      </c>
      <c r="J17" s="28">
        <v>31.19</v>
      </c>
      <c r="K17" s="28">
        <v>54.43</v>
      </c>
      <c r="L17" s="23">
        <f>IFERROR(__xludf.DUMMYFUNCTION("ROUND(AVERAGE.WEIGHTED(I17:K17,I$13:K$13),2)"),44.07)</f>
        <v>44.07</v>
      </c>
      <c r="M17" s="23">
        <v>46.81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>
      <c r="A18" s="15">
        <v>0.0</v>
      </c>
      <c r="B18" s="3" t="s">
        <v>48</v>
      </c>
      <c r="C18" s="28">
        <v>49.9</v>
      </c>
      <c r="D18" s="28">
        <v>47.54</v>
      </c>
      <c r="E18" s="28">
        <v>47.83</v>
      </c>
      <c r="F18" s="28">
        <v>42.63</v>
      </c>
      <c r="G18" s="28">
        <v>51.98</v>
      </c>
      <c r="H18" s="28">
        <f>IFERROR(__xludf.DUMMYFUNCTION("ROUND(AVERAGE.WEIGHTED(C18:G18,C$13:G$13),2)"),47.19)</f>
        <v>47.19</v>
      </c>
      <c r="I18" s="28">
        <v>30.94</v>
      </c>
      <c r="J18" s="28">
        <v>25.52</v>
      </c>
      <c r="K18" s="28">
        <v>42.95</v>
      </c>
      <c r="L18" s="23">
        <f>IFERROR(__xludf.DUMMYFUNCTION("ROUND(AVERAGE.WEIGHTED(I18:K18,I$13:K$13),2)"),33.52)</f>
        <v>33.52</v>
      </c>
      <c r="M18" s="23">
        <v>46.36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>
      <c r="A19" s="15">
        <v>0.0</v>
      </c>
      <c r="B19" s="3" t="s">
        <v>49</v>
      </c>
      <c r="C19" s="28">
        <v>45.65</v>
      </c>
      <c r="D19" s="28">
        <v>46.47</v>
      </c>
      <c r="E19" s="28">
        <v>41.79</v>
      </c>
      <c r="F19" s="28">
        <v>50.25</v>
      </c>
      <c r="G19" s="28">
        <v>51.26</v>
      </c>
      <c r="H19" s="28">
        <f>IFERROR(__xludf.DUMMYFUNCTION("ROUND(AVERAGE.WEIGHTED(C19:G19,C$13:G$13),2)"),44.83)</f>
        <v>44.83</v>
      </c>
      <c r="I19" s="28">
        <v>27.95</v>
      </c>
      <c r="J19" s="28">
        <v>21.19</v>
      </c>
      <c r="K19" s="28">
        <v>40.77</v>
      </c>
      <c r="L19" s="23">
        <f>IFERROR(__xludf.DUMMYFUNCTION("ROUND(AVERAGE.WEIGHTED(I19:K19,I$13:K$13),2)"),30.47)</f>
        <v>30.47</v>
      </c>
      <c r="M19" s="23">
        <v>43.96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>
      <c r="A20" s="15">
        <v>0.0</v>
      </c>
      <c r="B20" s="3" t="s">
        <v>50</v>
      </c>
      <c r="C20" s="28">
        <v>48.87</v>
      </c>
      <c r="D20" s="28">
        <v>50.29</v>
      </c>
      <c r="E20" s="28">
        <v>47.72</v>
      </c>
      <c r="F20" s="28">
        <v>43.52</v>
      </c>
      <c r="G20" s="28">
        <v>51.2</v>
      </c>
      <c r="H20" s="28">
        <f>IFERROR(__xludf.DUMMYFUNCTION("ROUND(AVERAGE.WEIGHTED(C20:G20,C$13:G$13),2)"),47.42)</f>
        <v>47.42</v>
      </c>
      <c r="I20" s="28">
        <v>34.49</v>
      </c>
      <c r="J20" s="28">
        <v>22.99</v>
      </c>
      <c r="K20" s="28">
        <v>47.1</v>
      </c>
      <c r="L20" s="23">
        <f>IFERROR(__xludf.DUMMYFUNCTION("ROUND(AVERAGE.WEIGHTED(I20:K20,I$13:K$13),2)"),35.83)</f>
        <v>35.83</v>
      </c>
      <c r="M20" s="23">
        <v>46.71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>
      <c r="A21" s="15">
        <v>0.0</v>
      </c>
      <c r="B21" s="3" t="s">
        <v>51</v>
      </c>
      <c r="C21" s="28">
        <v>47.31</v>
      </c>
      <c r="D21" s="28">
        <v>47.13</v>
      </c>
      <c r="E21" s="28">
        <v>44.39</v>
      </c>
      <c r="F21" s="28">
        <v>51.08</v>
      </c>
      <c r="G21" s="28">
        <v>51.92</v>
      </c>
      <c r="H21" s="28">
        <f>IFERROR(__xludf.DUMMYFUNCTION("ROUND(AVERAGE.WEIGHTED(C21:G21,C$13:G$13),2)"),46.68)</f>
        <v>46.68</v>
      </c>
      <c r="I21" s="28">
        <v>34.57</v>
      </c>
      <c r="J21" s="28">
        <v>27.31</v>
      </c>
      <c r="K21" s="28">
        <v>40.87</v>
      </c>
      <c r="L21" s="23">
        <f>IFERROR(__xludf.DUMMYFUNCTION("ROUND(AVERAGE.WEIGHTED(I21:K21,I$13:K$13),2)"),34.89)</f>
        <v>34.89</v>
      </c>
      <c r="M21" s="23">
        <v>45.96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>
      <c r="A22" s="15">
        <v>0.0</v>
      </c>
      <c r="B22" s="3" t="s">
        <v>52</v>
      </c>
      <c r="C22" s="28">
        <v>48.87</v>
      </c>
      <c r="D22" s="28">
        <v>48.64</v>
      </c>
      <c r="E22" s="28">
        <v>47.4</v>
      </c>
      <c r="F22" s="28">
        <v>44.91</v>
      </c>
      <c r="G22" s="28">
        <v>52.87</v>
      </c>
      <c r="H22" s="28">
        <f>IFERROR(__xludf.DUMMYFUNCTION("ROUND(AVERAGE.WEIGHTED(C22:G22,C$13:G$13),2)"),47.43)</f>
        <v>47.43</v>
      </c>
      <c r="I22" s="28">
        <v>35.98</v>
      </c>
      <c r="J22" s="28">
        <v>28.81</v>
      </c>
      <c r="K22" s="28">
        <v>43.72</v>
      </c>
      <c r="L22" s="23">
        <f>IFERROR(__xludf.DUMMYFUNCTION("ROUND(AVERAGE.WEIGHTED(I22:K22,I$13:K$13),2)"),36.78)</f>
        <v>36.78</v>
      </c>
      <c r="M22" s="23">
        <v>46.78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>
      <c r="A23" s="15">
        <v>0.0</v>
      </c>
      <c r="B23" s="3" t="s">
        <v>53</v>
      </c>
      <c r="C23" s="28">
        <v>46.09</v>
      </c>
      <c r="D23" s="28">
        <v>46.22</v>
      </c>
      <c r="E23" s="28">
        <v>43.09</v>
      </c>
      <c r="F23" s="28">
        <v>46.06</v>
      </c>
      <c r="G23" s="28">
        <v>49.64</v>
      </c>
      <c r="H23" s="28">
        <f>IFERROR(__xludf.DUMMYFUNCTION("ROUND(AVERAGE.WEIGHTED(C23:G23,C$13:G$13),2)"),44.65)</f>
        <v>44.65</v>
      </c>
      <c r="I23" s="28">
        <v>33.07</v>
      </c>
      <c r="J23" s="28">
        <v>21.79</v>
      </c>
      <c r="K23" s="28">
        <v>39.13</v>
      </c>
      <c r="L23" s="23">
        <f>IFERROR(__xludf.DUMMYFUNCTION("ROUND(AVERAGE.WEIGHTED(I23:K23,I$13:K$13),2)"),32.37)</f>
        <v>32.37</v>
      </c>
      <c r="M23" s="23">
        <v>43.9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>
      <c r="A24" s="15">
        <v>0.0</v>
      </c>
      <c r="B24" s="3" t="s">
        <v>54</v>
      </c>
      <c r="C24" s="28">
        <v>50.37</v>
      </c>
      <c r="D24" s="28">
        <v>47.57</v>
      </c>
      <c r="E24" s="28">
        <v>47.2</v>
      </c>
      <c r="F24" s="28">
        <v>40.83</v>
      </c>
      <c r="G24" s="28">
        <v>54.67</v>
      </c>
      <c r="H24" s="28">
        <f>IFERROR(__xludf.DUMMYFUNCTION("ROUND(AVERAGE.WEIGHTED(C24:G24,C$13:G$13),2)"),46.67)</f>
        <v>46.67</v>
      </c>
      <c r="I24" s="28">
        <v>33.54</v>
      </c>
      <c r="J24" s="28">
        <v>20.9</v>
      </c>
      <c r="K24" s="28">
        <v>46.56</v>
      </c>
      <c r="L24" s="23">
        <f>IFERROR(__xludf.DUMMYFUNCTION("ROUND(AVERAGE.WEIGHTED(I24:K24,I$13:K$13),2)"),34.75)</f>
        <v>34.75</v>
      </c>
      <c r="M24" s="23">
        <v>45.94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>
      <c r="A25" s="15">
        <v>0.0</v>
      </c>
      <c r="B25" s="3" t="s">
        <v>55</v>
      </c>
      <c r="C25" s="28">
        <v>46.38</v>
      </c>
      <c r="D25" s="28">
        <v>46.26</v>
      </c>
      <c r="E25" s="28">
        <v>43.78</v>
      </c>
      <c r="F25" s="28">
        <v>50.35</v>
      </c>
      <c r="G25" s="28">
        <v>52.69</v>
      </c>
      <c r="H25" s="28">
        <f>IFERROR(__xludf.DUMMYFUNCTION("ROUND(AVERAGE.WEIGHTED(C25:G25,C$13:G$13),2)"),46.03)</f>
        <v>46.03</v>
      </c>
      <c r="I25" s="28">
        <v>29.69</v>
      </c>
      <c r="J25" s="28">
        <v>22.24</v>
      </c>
      <c r="K25" s="28">
        <v>40.33</v>
      </c>
      <c r="L25" s="23">
        <f>IFERROR(__xludf.DUMMYFUNCTION("ROUND(AVERAGE.WEIGHTED(I25:K25,I$13:K$13),2)"),31.35)</f>
        <v>31.35</v>
      </c>
      <c r="M25" s="23">
        <v>45.13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>
      <c r="A26" s="15">
        <v>0.0</v>
      </c>
      <c r="B26" s="3" t="s">
        <v>56</v>
      </c>
      <c r="C26" s="28">
        <v>50.63</v>
      </c>
      <c r="D26" s="28">
        <v>46.13</v>
      </c>
      <c r="E26" s="28">
        <v>47.6</v>
      </c>
      <c r="F26" s="28">
        <v>42.4</v>
      </c>
      <c r="G26" s="28">
        <v>51.44</v>
      </c>
      <c r="H26" s="28">
        <f>IFERROR(__xludf.DUMMYFUNCTION("ROUND(AVERAGE.WEIGHTED(C26:G26,C$13:G$13),2)"),46.96)</f>
        <v>46.96</v>
      </c>
      <c r="I26" s="28">
        <v>32.13</v>
      </c>
      <c r="J26" s="28">
        <v>18.96</v>
      </c>
      <c r="K26" s="28">
        <v>47.1</v>
      </c>
      <c r="L26" s="23">
        <f>IFERROR(__xludf.DUMMYFUNCTION("ROUND(AVERAGE.WEIGHTED(I26:K26,I$13:K$13),2)"),33.84)</f>
        <v>33.84</v>
      </c>
      <c r="M26" s="23">
        <v>46.16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>
      <c r="A27" s="15">
        <v>0.0</v>
      </c>
      <c r="B27" s="3" t="s">
        <v>57</v>
      </c>
      <c r="C27" s="28">
        <v>45.75</v>
      </c>
      <c r="D27" s="28">
        <v>45.07</v>
      </c>
      <c r="E27" s="28">
        <v>41.48</v>
      </c>
      <c r="F27" s="28">
        <v>47.24</v>
      </c>
      <c r="G27" s="28">
        <v>50.24</v>
      </c>
      <c r="H27" s="28">
        <f>IFERROR(__xludf.DUMMYFUNCTION("ROUND(AVERAGE.WEIGHTED(C27:G27,C$13:G$13),2)"),43.89)</f>
        <v>43.89</v>
      </c>
      <c r="I27" s="28">
        <v>31.97</v>
      </c>
      <c r="J27" s="28">
        <v>29.7</v>
      </c>
      <c r="K27" s="28">
        <v>38.14</v>
      </c>
      <c r="L27" s="23">
        <f>IFERROR(__xludf.DUMMYFUNCTION("ROUND(AVERAGE.WEIGHTED(I27:K27,I$13:K$13),2)"),33.41)</f>
        <v>33.41</v>
      </c>
      <c r="M27" s="23">
        <v>43.26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>
      <c r="A28" s="15">
        <v>0.0</v>
      </c>
      <c r="B28" s="3" t="s">
        <v>58</v>
      </c>
      <c r="C28" s="28">
        <v>53.89</v>
      </c>
      <c r="D28" s="28">
        <v>48.46</v>
      </c>
      <c r="E28" s="28">
        <v>48.55</v>
      </c>
      <c r="F28" s="28">
        <v>41.52</v>
      </c>
      <c r="G28" s="28">
        <v>55.69</v>
      </c>
      <c r="H28" s="28">
        <f>IFERROR(__xludf.DUMMYFUNCTION("ROUND(AVERAGE.WEIGHTED(C28:G28,C$13:G$13),2)"),48.12)</f>
        <v>48.12</v>
      </c>
      <c r="I28" s="28">
        <v>38.19</v>
      </c>
      <c r="J28" s="28">
        <v>30.0</v>
      </c>
      <c r="K28" s="28">
        <v>49.18</v>
      </c>
      <c r="L28" s="23">
        <f>IFERROR(__xludf.DUMMYFUNCTION("ROUND(AVERAGE.WEIGHTED(I28:K28,I$13:K$13),2)"),39.79)</f>
        <v>39.79</v>
      </c>
      <c r="M28" s="23">
        <v>47.61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>
      <c r="A29" s="15">
        <v>0.0</v>
      </c>
      <c r="B29" s="3" t="s">
        <v>59</v>
      </c>
      <c r="C29" s="28">
        <v>52.13</v>
      </c>
      <c r="D29" s="28">
        <v>47.75</v>
      </c>
      <c r="E29" s="28">
        <v>42.95</v>
      </c>
      <c r="F29" s="28">
        <v>36.55</v>
      </c>
      <c r="G29" s="28">
        <v>52.4</v>
      </c>
      <c r="H29" s="28">
        <f>IFERROR(__xludf.DUMMYFUNCTION("ROUND(AVERAGE.WEIGHTED(C29:G29,C$13:G$13),2)"),43.73)</f>
        <v>43.73</v>
      </c>
      <c r="I29" s="28">
        <v>34.17</v>
      </c>
      <c r="J29" s="28">
        <v>19.25</v>
      </c>
      <c r="K29" s="28">
        <v>51.15</v>
      </c>
      <c r="L29" s="23">
        <f>IFERROR(__xludf.DUMMYFUNCTION("ROUND(AVERAGE.WEIGHTED(I29:K29,I$13:K$13),2)"),36.11)</f>
        <v>36.11</v>
      </c>
      <c r="M29" s="23">
        <v>43.27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>
      <c r="A30" s="15"/>
      <c r="B30" s="3"/>
      <c r="C30" s="15"/>
      <c r="D30" s="15"/>
      <c r="E30" s="15"/>
      <c r="F30" s="15"/>
      <c r="G30" s="15"/>
      <c r="H30" s="15"/>
      <c r="I30" s="15"/>
      <c r="J30" s="15"/>
      <c r="K30" s="15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>
      <c r="A31" s="15">
        <v>1.0</v>
      </c>
      <c r="B31" s="3" t="s">
        <v>60</v>
      </c>
      <c r="C31" s="28">
        <v>86.6</v>
      </c>
      <c r="D31" s="28">
        <v>94.51</v>
      </c>
      <c r="E31" s="28">
        <v>76.52</v>
      </c>
      <c r="F31" s="28">
        <v>84.36</v>
      </c>
      <c r="G31" s="28">
        <v>60.48</v>
      </c>
      <c r="H31" s="28">
        <f>IFERROR(__xludf.DUMMYFUNCTION("ROUND(AVERAGE.WEIGHTED(C31:G31,C$13:G$13),2)"),80.62)</f>
        <v>80.62</v>
      </c>
      <c r="I31" s="28">
        <v>26.77</v>
      </c>
      <c r="J31" s="28">
        <v>30.6</v>
      </c>
      <c r="K31" s="28">
        <v>33.11</v>
      </c>
      <c r="L31" s="23">
        <f>IFERROR(__xludf.DUMMYFUNCTION("ROUND(AVERAGE.WEIGHTED(I31:K31,I$13:K$13),2)"),29.7)</f>
        <v>29.7</v>
      </c>
      <c r="M31" s="23">
        <v>77.52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>
      <c r="A32" s="15">
        <v>1.0</v>
      </c>
      <c r="B32" s="3" t="s">
        <v>61</v>
      </c>
      <c r="C32" s="28">
        <v>90.02</v>
      </c>
      <c r="D32" s="28">
        <v>97.42</v>
      </c>
      <c r="E32" s="28">
        <v>80.69</v>
      </c>
      <c r="F32" s="28">
        <v>92.76</v>
      </c>
      <c r="G32" s="28">
        <v>71.92</v>
      </c>
      <c r="H32" s="28">
        <f>IFERROR(__xludf.DUMMYFUNCTION("ROUND(AVERAGE.WEIGHTED(C32:G32,C$13:G$13),2)"),85.69)</f>
        <v>85.69</v>
      </c>
      <c r="I32" s="28">
        <v>30.16</v>
      </c>
      <c r="J32" s="28">
        <v>41.94</v>
      </c>
      <c r="K32" s="28">
        <v>31.48</v>
      </c>
      <c r="L32" s="23">
        <f>IFERROR(__xludf.DUMMYFUNCTION("ROUND(AVERAGE.WEIGHTED(I32:K32,I$13:K$13),2)"),33.35)</f>
        <v>33.35</v>
      </c>
      <c r="M32" s="23">
        <v>82.5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>
      <c r="A33" s="15">
        <v>1.0</v>
      </c>
      <c r="B33" s="3" t="s">
        <v>62</v>
      </c>
      <c r="C33" s="28">
        <v>88.68</v>
      </c>
      <c r="D33" s="28">
        <v>96.57</v>
      </c>
      <c r="E33" s="28">
        <v>78.82</v>
      </c>
      <c r="F33" s="28">
        <v>90.75</v>
      </c>
      <c r="G33" s="28">
        <v>69.16</v>
      </c>
      <c r="H33" s="28">
        <f>IFERROR(__xludf.DUMMYFUNCTION("ROUND(AVERAGE.WEIGHTED(C33:G33,C$13:G$13),2)"),83.93)</f>
        <v>83.93</v>
      </c>
      <c r="I33" s="28">
        <v>26.3</v>
      </c>
      <c r="J33" s="28">
        <v>37.31</v>
      </c>
      <c r="K33" s="28">
        <v>29.95</v>
      </c>
      <c r="L33" s="23">
        <f>IFERROR(__xludf.DUMMYFUNCTION("ROUND(AVERAGE.WEIGHTED(I33:K33,I$13:K$13),2)"),30.05)</f>
        <v>30.05</v>
      </c>
      <c r="M33" s="23">
        <v>80.65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>
      <c r="A34" s="15">
        <v>1.0</v>
      </c>
      <c r="B34" s="3" t="s">
        <v>63</v>
      </c>
      <c r="C34" s="28">
        <v>89.78</v>
      </c>
      <c r="D34" s="28">
        <v>97.35</v>
      </c>
      <c r="E34" s="28">
        <v>80.53</v>
      </c>
      <c r="F34" s="28">
        <v>92.96</v>
      </c>
      <c r="G34" s="28">
        <v>70.66</v>
      </c>
      <c r="H34" s="28">
        <f>IFERROR(__xludf.DUMMYFUNCTION("ROUND(AVERAGE.WEIGHTED(C34:G34,C$13:G$13),2)"),85.56)</f>
        <v>85.56</v>
      </c>
      <c r="I34" s="28">
        <v>29.92</v>
      </c>
      <c r="J34" s="28">
        <v>42.09</v>
      </c>
      <c r="K34" s="28">
        <v>30.71</v>
      </c>
      <c r="L34" s="23">
        <f>IFERROR(__xludf.DUMMYFUNCTION("ROUND(AVERAGE.WEIGHTED(I34:K34,I$13:K$13),2)"),33.03)</f>
        <v>33.03</v>
      </c>
      <c r="M34" s="23">
        <v>82.36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>
      <c r="A35" s="15">
        <v>1.0</v>
      </c>
      <c r="B35" s="3" t="s">
        <v>64</v>
      </c>
      <c r="C35" s="28">
        <v>89.92</v>
      </c>
      <c r="D35" s="28">
        <v>97.42</v>
      </c>
      <c r="E35" s="28">
        <v>80.2</v>
      </c>
      <c r="F35" s="28">
        <v>92.51</v>
      </c>
      <c r="G35" s="28">
        <v>71.68</v>
      </c>
      <c r="H35" s="28">
        <f>IFERROR(__xludf.DUMMYFUNCTION("ROUND(AVERAGE.WEIGHTED(C35:G35,C$13:G$13),2)"),85.36)</f>
        <v>85.36</v>
      </c>
      <c r="I35" s="28">
        <v>28.82</v>
      </c>
      <c r="J35" s="28">
        <v>43.88</v>
      </c>
      <c r="K35" s="28">
        <v>30.27</v>
      </c>
      <c r="L35" s="23">
        <f>IFERROR(__xludf.DUMMYFUNCTION("ROUND(AVERAGE.WEIGHTED(I35:K35,I$13:K$13),2)"),32.82)</f>
        <v>32.82</v>
      </c>
      <c r="M35" s="23">
        <v>82.16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>
      <c r="A36" s="15">
        <v>1.0</v>
      </c>
      <c r="B36" s="3" t="s">
        <v>65</v>
      </c>
      <c r="C36" s="28">
        <v>88.93</v>
      </c>
      <c r="D36" s="28">
        <v>96.55</v>
      </c>
      <c r="E36" s="28">
        <v>79.14</v>
      </c>
      <c r="F36" s="28">
        <v>91.81</v>
      </c>
      <c r="G36" s="28">
        <v>68.98</v>
      </c>
      <c r="H36" s="28">
        <f>IFERROR(__xludf.DUMMYFUNCTION("ROUND(AVERAGE.WEIGHTED(C36:G36,C$13:G$13),2)"),84.33)</f>
        <v>84.33</v>
      </c>
      <c r="I36" s="28">
        <v>27.24</v>
      </c>
      <c r="J36" s="28">
        <v>39.1</v>
      </c>
      <c r="K36" s="28">
        <v>28.96</v>
      </c>
      <c r="L36" s="23">
        <f>IFERROR(__xludf.DUMMYFUNCTION("ROUND(AVERAGE.WEIGHTED(I36:K36,I$13:K$13),2)"),30.57)</f>
        <v>30.57</v>
      </c>
      <c r="M36" s="23">
        <v>81.07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>
      <c r="A37" s="15">
        <v>1.0</v>
      </c>
      <c r="B37" s="3" t="s">
        <v>66</v>
      </c>
      <c r="C37" s="28">
        <v>89.64</v>
      </c>
      <c r="D37" s="28">
        <v>97.03</v>
      </c>
      <c r="E37" s="28">
        <v>80.24</v>
      </c>
      <c r="F37" s="28">
        <v>92.22</v>
      </c>
      <c r="G37" s="28">
        <v>70.12</v>
      </c>
      <c r="H37" s="28">
        <f>IFERROR(__xludf.DUMMYFUNCTION("ROUND(AVERAGE.WEIGHTED(C37:G37,C$13:G$13),2)"),85.18)</f>
        <v>85.18</v>
      </c>
      <c r="I37" s="28">
        <v>28.58</v>
      </c>
      <c r="J37" s="28">
        <v>43.13</v>
      </c>
      <c r="K37" s="28">
        <v>30.6</v>
      </c>
      <c r="L37" s="23">
        <f>IFERROR(__xludf.DUMMYFUNCTION("ROUND(AVERAGE.WEIGHTED(I37:K37,I$13:K$13),2)"),32.64)</f>
        <v>32.64</v>
      </c>
      <c r="M37" s="23">
        <v>81.99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>
      <c r="A38" s="15">
        <v>1.0</v>
      </c>
      <c r="B38" s="3" t="s">
        <v>67</v>
      </c>
      <c r="C38" s="28">
        <v>89.42</v>
      </c>
      <c r="D38" s="28">
        <v>97.19</v>
      </c>
      <c r="E38" s="28">
        <v>80.19</v>
      </c>
      <c r="F38" s="28">
        <v>92.01</v>
      </c>
      <c r="G38" s="28">
        <v>70.42</v>
      </c>
      <c r="H38" s="28">
        <f>IFERROR(__xludf.DUMMYFUNCTION("ROUND(AVERAGE.WEIGHTED(C38:G38,C$13:G$13),2)"),85.11)</f>
        <v>85.11</v>
      </c>
      <c r="I38" s="28">
        <v>27.72</v>
      </c>
      <c r="J38" s="28">
        <v>38.96</v>
      </c>
      <c r="K38" s="28">
        <v>27.98</v>
      </c>
      <c r="L38" s="23">
        <f>IFERROR(__xludf.DUMMYFUNCTION("ROUND(AVERAGE.WEIGHTED(I38:K38,I$13:K$13),2)"),30.44)</f>
        <v>30.44</v>
      </c>
      <c r="M38" s="23">
        <v>81.79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>
      <c r="A39" s="15">
        <v>1.0</v>
      </c>
      <c r="B39" s="3" t="s">
        <v>68</v>
      </c>
      <c r="C39" s="28">
        <v>88.34</v>
      </c>
      <c r="D39" s="28">
        <v>96.71</v>
      </c>
      <c r="E39" s="28">
        <v>78.71</v>
      </c>
      <c r="F39" s="28">
        <v>89.62</v>
      </c>
      <c r="G39" s="28">
        <v>67.31</v>
      </c>
      <c r="H39" s="28">
        <f>IFERROR(__xludf.DUMMYFUNCTION("ROUND(AVERAGE.WEIGHTED(C39:G39,C$13:G$13),2)"),83.54)</f>
        <v>83.54</v>
      </c>
      <c r="I39" s="28">
        <v>28.66</v>
      </c>
      <c r="J39" s="28">
        <v>38.06</v>
      </c>
      <c r="K39" s="28">
        <v>30.05</v>
      </c>
      <c r="L39" s="23">
        <f>IFERROR(__xludf.DUMMYFUNCTION("ROUND(AVERAGE.WEIGHTED(I39:K39,I$13:K$13),2)"),31.31)</f>
        <v>31.31</v>
      </c>
      <c r="M39" s="23">
        <v>80.37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>
      <c r="A40" s="15">
        <v>1.0</v>
      </c>
      <c r="B40" s="3" t="s">
        <v>69</v>
      </c>
      <c r="C40" s="28">
        <v>89.78</v>
      </c>
      <c r="D40" s="28">
        <v>96.82</v>
      </c>
      <c r="E40" s="28">
        <v>79.59</v>
      </c>
      <c r="F40" s="28">
        <v>91.53</v>
      </c>
      <c r="G40" s="28">
        <v>71.02</v>
      </c>
      <c r="H40" s="28">
        <f>IFERROR(__xludf.DUMMYFUNCTION("ROUND(AVERAGE.WEIGHTED(C40:G40,C$13:G$13),2)"),84.73)</f>
        <v>84.73</v>
      </c>
      <c r="I40" s="28">
        <v>26.61</v>
      </c>
      <c r="J40" s="28">
        <v>39.85</v>
      </c>
      <c r="K40" s="28">
        <v>29.73</v>
      </c>
      <c r="L40" s="23">
        <f>IFERROR(__xludf.DUMMYFUNCTION("ROUND(AVERAGE.WEIGHTED(I40:K40,I$13:K$13),2)"),30.72)</f>
        <v>30.72</v>
      </c>
      <c r="M40" s="23">
        <v>81.45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>
      <c r="A41" s="15">
        <v>1.0</v>
      </c>
      <c r="B41" s="3" t="s">
        <v>70</v>
      </c>
      <c r="C41" s="28">
        <v>90.08</v>
      </c>
      <c r="D41" s="28">
        <v>96.8</v>
      </c>
      <c r="E41" s="28">
        <v>80.08</v>
      </c>
      <c r="F41" s="28">
        <v>91.75</v>
      </c>
      <c r="G41" s="28">
        <v>70.3</v>
      </c>
      <c r="H41" s="28">
        <f>IFERROR(__xludf.DUMMYFUNCTION("ROUND(AVERAGE.WEIGHTED(C41:G41,C$13:G$13),2)"),85.05)</f>
        <v>85.05</v>
      </c>
      <c r="I41" s="28">
        <v>29.21</v>
      </c>
      <c r="J41" s="28">
        <v>39.7</v>
      </c>
      <c r="K41" s="28">
        <v>32.68</v>
      </c>
      <c r="L41" s="23">
        <f>IFERROR(__xludf.DUMMYFUNCTION("ROUND(AVERAGE.WEIGHTED(I41:K41,I$13:K$13),2)"),32.78)</f>
        <v>32.78</v>
      </c>
      <c r="M41" s="23">
        <v>81.87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>
      <c r="A42" s="15">
        <v>1.0</v>
      </c>
      <c r="B42" s="3" t="s">
        <v>71</v>
      </c>
      <c r="C42" s="28">
        <v>88.8</v>
      </c>
      <c r="D42" s="28">
        <v>97.28</v>
      </c>
      <c r="E42" s="28">
        <v>79.62</v>
      </c>
      <c r="F42" s="28">
        <v>90.38</v>
      </c>
      <c r="G42" s="28">
        <v>69.04</v>
      </c>
      <c r="H42" s="28">
        <f>IFERROR(__xludf.DUMMYFUNCTION("ROUND(AVERAGE.WEIGHTED(C42:G42,C$13:G$13),2)"),84.36)</f>
        <v>84.36</v>
      </c>
      <c r="I42" s="28">
        <v>28.35</v>
      </c>
      <c r="J42" s="28">
        <v>39.55</v>
      </c>
      <c r="K42" s="28">
        <v>30.71</v>
      </c>
      <c r="L42" s="23">
        <f>IFERROR(__xludf.DUMMYFUNCTION("ROUND(AVERAGE.WEIGHTED(I42:K42,I$13:K$13),2)"),31.73)</f>
        <v>31.73</v>
      </c>
      <c r="M42" s="23">
        <v>81.16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>
      <c r="A43" s="15">
        <v>1.0</v>
      </c>
      <c r="B43" s="3" t="s">
        <v>72</v>
      </c>
      <c r="C43" s="28">
        <v>89.22</v>
      </c>
      <c r="D43" s="28">
        <v>96.85</v>
      </c>
      <c r="E43" s="28">
        <v>79.86</v>
      </c>
      <c r="F43" s="28">
        <v>91.56</v>
      </c>
      <c r="G43" s="28">
        <v>68.74</v>
      </c>
      <c r="H43" s="28">
        <f>IFERROR(__xludf.DUMMYFUNCTION("ROUND(AVERAGE.WEIGHTED(C43:G43,C$13:G$13),2)"),84.72)</f>
        <v>84.72</v>
      </c>
      <c r="I43" s="28">
        <v>26.54</v>
      </c>
      <c r="J43" s="28">
        <v>40.6</v>
      </c>
      <c r="K43" s="28">
        <v>31.04</v>
      </c>
      <c r="L43" s="23">
        <f>IFERROR(__xludf.DUMMYFUNCTION("ROUND(AVERAGE.WEIGHTED(I43:K43,I$13:K$13),2)"),31.28)</f>
        <v>31.28</v>
      </c>
      <c r="M43" s="23">
        <v>81.47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>
      <c r="A44" s="15">
        <v>1.0</v>
      </c>
      <c r="B44" s="3" t="s">
        <v>73</v>
      </c>
      <c r="C44" s="28">
        <v>89.51</v>
      </c>
      <c r="D44" s="28">
        <v>96.85</v>
      </c>
      <c r="E44" s="28">
        <v>80.7</v>
      </c>
      <c r="F44" s="28">
        <v>92.33</v>
      </c>
      <c r="G44" s="28">
        <v>70.0</v>
      </c>
      <c r="H44" s="28">
        <f>IFERROR(__xludf.DUMMYFUNCTION("ROUND(AVERAGE.WEIGHTED(C44:G44,C$13:G$13),2)"),85.41)</f>
        <v>85.41</v>
      </c>
      <c r="I44" s="28">
        <v>28.27</v>
      </c>
      <c r="J44" s="28">
        <v>39.55</v>
      </c>
      <c r="K44" s="28">
        <v>27.21</v>
      </c>
      <c r="L44" s="23">
        <f>IFERROR(__xludf.DUMMYFUNCTION("ROUND(AVERAGE.WEIGHTED(I44:K44,I$13:K$13),2)"),30.58)</f>
        <v>30.58</v>
      </c>
      <c r="M44" s="23">
        <v>82.07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>
      <c r="A45" s="15">
        <v>1.0</v>
      </c>
      <c r="B45" s="3" t="s">
        <v>74</v>
      </c>
      <c r="C45" s="28">
        <v>89.24</v>
      </c>
      <c r="D45" s="28">
        <v>96.89</v>
      </c>
      <c r="E45" s="28">
        <v>78.45</v>
      </c>
      <c r="F45" s="28">
        <v>90.7</v>
      </c>
      <c r="G45" s="28">
        <v>69.58</v>
      </c>
      <c r="H45" s="28">
        <f>IFERROR(__xludf.DUMMYFUNCTION("ROUND(AVERAGE.WEIGHTED(C45:G45,C$13:G$13),2)"),83.84)</f>
        <v>83.84</v>
      </c>
      <c r="I45" s="28">
        <v>28.74</v>
      </c>
      <c r="J45" s="28">
        <v>35.37</v>
      </c>
      <c r="K45" s="28">
        <v>31.15</v>
      </c>
      <c r="L45" s="23">
        <f>IFERROR(__xludf.DUMMYFUNCTION("ROUND(AVERAGE.WEIGHTED(I45:K45,I$13:K$13),2)"),31.07)</f>
        <v>31.07</v>
      </c>
      <c r="M45" s="23">
        <v>80.64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>
      <c r="A46" s="15">
        <v>1.0</v>
      </c>
      <c r="B46" s="3" t="s">
        <v>75</v>
      </c>
      <c r="C46" s="28">
        <v>89.68</v>
      </c>
      <c r="D46" s="28">
        <v>97.17</v>
      </c>
      <c r="E46" s="28">
        <v>80.39</v>
      </c>
      <c r="F46" s="28">
        <v>91.74</v>
      </c>
      <c r="G46" s="28">
        <v>70.06</v>
      </c>
      <c r="H46" s="28">
        <f>IFERROR(__xludf.DUMMYFUNCTION("ROUND(AVERAGE.WEIGHTED(C46:G46,C$13:G$13),2)"),85.18)</f>
        <v>85.18</v>
      </c>
      <c r="I46" s="28">
        <v>26.3</v>
      </c>
      <c r="J46" s="28">
        <v>39.85</v>
      </c>
      <c r="K46" s="28">
        <v>28.52</v>
      </c>
      <c r="L46" s="23">
        <f>IFERROR(__xludf.DUMMYFUNCTION("ROUND(AVERAGE.WEIGHTED(I46:K46,I$13:K$13),2)"),30.19)</f>
        <v>30.19</v>
      </c>
      <c r="M46" s="23">
        <v>81.84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>
      <c r="A47" s="15">
        <v>1.0</v>
      </c>
      <c r="B47" s="3" t="s">
        <v>76</v>
      </c>
      <c r="C47" s="28">
        <v>89.39</v>
      </c>
      <c r="D47" s="28">
        <v>96.87</v>
      </c>
      <c r="E47" s="28">
        <v>80.03</v>
      </c>
      <c r="F47" s="28">
        <v>90.95</v>
      </c>
      <c r="G47" s="28">
        <v>70.06</v>
      </c>
      <c r="H47" s="28">
        <f>IFERROR(__xludf.DUMMYFUNCTION("ROUND(AVERAGE.WEIGHTED(C47:G47,C$13:G$13),2)"),84.77)</f>
        <v>84.77</v>
      </c>
      <c r="I47" s="28">
        <v>28.19</v>
      </c>
      <c r="J47" s="28">
        <v>41.79</v>
      </c>
      <c r="K47" s="28">
        <v>29.84</v>
      </c>
      <c r="L47" s="23">
        <f>IFERROR(__xludf.DUMMYFUNCTION("ROUND(AVERAGE.WEIGHTED(I47:K47,I$13:K$13),2)"),31.91)</f>
        <v>31.91</v>
      </c>
      <c r="M47" s="23">
        <v>81.55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>
      <c r="A48" s="15">
        <v>1.0</v>
      </c>
      <c r="B48" s="3" t="s">
        <v>77</v>
      </c>
      <c r="C48" s="28">
        <v>88.88</v>
      </c>
      <c r="D48" s="28">
        <v>96.43</v>
      </c>
      <c r="E48" s="28">
        <v>79.05</v>
      </c>
      <c r="F48" s="28">
        <v>89.77</v>
      </c>
      <c r="G48" s="28">
        <v>69.34</v>
      </c>
      <c r="H48" s="28">
        <f>IFERROR(__xludf.DUMMYFUNCTION("ROUND(AVERAGE.WEIGHTED(C48:G48,C$13:G$13),2)"),83.87)</f>
        <v>83.87</v>
      </c>
      <c r="I48" s="28">
        <v>28.11</v>
      </c>
      <c r="J48" s="28">
        <v>35.97</v>
      </c>
      <c r="K48" s="28">
        <v>30.82</v>
      </c>
      <c r="L48" s="23">
        <f>IFERROR(__xludf.DUMMYFUNCTION("ROUND(AVERAGE.WEIGHTED(I48:K48,I$13:K$13),2)"),30.82)</f>
        <v>30.82</v>
      </c>
      <c r="M48" s="23">
        <v>80.65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>
      <c r="A49" s="15">
        <v>1.0</v>
      </c>
      <c r="B49" s="3" t="s">
        <v>78</v>
      </c>
      <c r="C49" s="28">
        <v>89.54</v>
      </c>
      <c r="D49" s="28">
        <v>97.14</v>
      </c>
      <c r="E49" s="28">
        <v>80.63</v>
      </c>
      <c r="F49" s="28">
        <v>91.99</v>
      </c>
      <c r="G49" s="28">
        <v>69.16</v>
      </c>
      <c r="H49" s="28">
        <f>IFERROR(__xludf.DUMMYFUNCTION("ROUND(AVERAGE.WEIGHTED(C49:G49,C$13:G$13),2)"),85.3)</f>
        <v>85.3</v>
      </c>
      <c r="I49" s="28">
        <v>27.09</v>
      </c>
      <c r="J49" s="28">
        <v>38.81</v>
      </c>
      <c r="K49" s="28">
        <v>29.4</v>
      </c>
      <c r="L49" s="23">
        <f>IFERROR(__xludf.DUMMYFUNCTION("ROUND(AVERAGE.WEIGHTED(I49:K49,I$13:K$13),2)"),30.58)</f>
        <v>30.58</v>
      </c>
      <c r="M49" s="23">
        <v>81.98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>
      <c r="A50" s="15">
        <v>1.0</v>
      </c>
      <c r="B50" s="3" t="s">
        <v>79</v>
      </c>
      <c r="C50" s="28">
        <v>87.78</v>
      </c>
      <c r="D50" s="28">
        <v>96.32</v>
      </c>
      <c r="E50" s="28">
        <v>78.95</v>
      </c>
      <c r="F50" s="28">
        <v>90.95</v>
      </c>
      <c r="G50" s="28">
        <v>68.68</v>
      </c>
      <c r="H50" s="28">
        <f>IFERROR(__xludf.DUMMYFUNCTION("ROUND(AVERAGE.WEIGHTED(C50:G50,C$13:G$13),2)"),83.87)</f>
        <v>83.87</v>
      </c>
      <c r="I50" s="28">
        <v>27.32</v>
      </c>
      <c r="J50" s="28">
        <v>36.12</v>
      </c>
      <c r="K50" s="28">
        <v>31.04</v>
      </c>
      <c r="L50" s="23">
        <f>IFERROR(__xludf.DUMMYFUNCTION("ROUND(AVERAGE.WEIGHTED(I50:K50,I$13:K$13),2)"),30.58)</f>
        <v>30.58</v>
      </c>
      <c r="M50" s="23">
        <v>80.63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>
      <c r="A51" s="15">
        <v>1.0</v>
      </c>
      <c r="B51" s="3" t="s">
        <v>80</v>
      </c>
      <c r="C51" s="28">
        <v>88.19</v>
      </c>
      <c r="D51" s="28">
        <v>96.14</v>
      </c>
      <c r="E51" s="28">
        <v>79.25</v>
      </c>
      <c r="F51" s="28">
        <v>89.79</v>
      </c>
      <c r="G51" s="28">
        <v>67.01</v>
      </c>
      <c r="H51" s="28">
        <f>IFERROR(__xludf.DUMMYFUNCTION("ROUND(AVERAGE.WEIGHTED(C51:G51,C$13:G$13),2)"),83.77)</f>
        <v>83.77</v>
      </c>
      <c r="I51" s="28">
        <v>27.4</v>
      </c>
      <c r="J51" s="28">
        <v>40.15</v>
      </c>
      <c r="K51" s="28">
        <v>32.13</v>
      </c>
      <c r="L51" s="23">
        <f>IFERROR(__xludf.DUMMYFUNCTION("ROUND(AVERAGE.WEIGHTED(I51:K51,I$13:K$13),2)"),31.91)</f>
        <v>31.91</v>
      </c>
      <c r="M51" s="23">
        <v>80.62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>
      <c r="A52" s="15">
        <v>1.0</v>
      </c>
      <c r="B52" s="3" t="s">
        <v>81</v>
      </c>
      <c r="C52" s="28">
        <v>87.17</v>
      </c>
      <c r="D52" s="28">
        <v>95.59</v>
      </c>
      <c r="E52" s="28">
        <v>78.32</v>
      </c>
      <c r="F52" s="28">
        <v>89.35</v>
      </c>
      <c r="G52" s="28">
        <v>67.54</v>
      </c>
      <c r="H52" s="28">
        <f>IFERROR(__xludf.DUMMYFUNCTION("ROUND(AVERAGE.WEIGHTED(C52:G52,C$13:G$13),2)"),83.02)</f>
        <v>83.02</v>
      </c>
      <c r="I52" s="28">
        <v>25.2</v>
      </c>
      <c r="J52" s="28">
        <v>35.52</v>
      </c>
      <c r="K52" s="28">
        <v>29.18</v>
      </c>
      <c r="L52" s="23">
        <f>IFERROR(__xludf.DUMMYFUNCTION("ROUND(AVERAGE.WEIGHTED(I52:K52,I$13:K$13),2)"),28.9)</f>
        <v>28.9</v>
      </c>
      <c r="M52" s="23">
        <v>79.73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>
      <c r="A53" s="15"/>
      <c r="B53" s="3"/>
      <c r="C53" s="15"/>
      <c r="D53" s="15"/>
      <c r="E53" s="15"/>
      <c r="F53" s="15"/>
      <c r="G53" s="15"/>
      <c r="H53" s="15"/>
      <c r="I53" s="15"/>
      <c r="J53" s="15"/>
      <c r="K53" s="15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>
      <c r="A54" s="15">
        <v>3.0</v>
      </c>
      <c r="B54" s="3" t="s">
        <v>60</v>
      </c>
      <c r="C54" s="28">
        <v>90.05</v>
      </c>
      <c r="D54" s="28">
        <v>97.55</v>
      </c>
      <c r="E54" s="28">
        <v>80.65</v>
      </c>
      <c r="F54" s="28">
        <v>93.36</v>
      </c>
      <c r="G54" s="28">
        <v>70.78</v>
      </c>
      <c r="H54" s="28">
        <f>IFERROR(__xludf.DUMMYFUNCTION("ROUND(AVERAGE.WEIGHTED(C54:G54,C$13:G$13),2)"),85.76)</f>
        <v>85.76</v>
      </c>
      <c r="I54" s="28">
        <v>29.92</v>
      </c>
      <c r="J54" s="28">
        <v>44.03</v>
      </c>
      <c r="K54" s="28">
        <v>31.69</v>
      </c>
      <c r="L54" s="23">
        <f>IFERROR(__xludf.DUMMYFUNCTION("ROUND(AVERAGE.WEIGHTED(I54:K54,I$13:K$13),2)"),33.8)</f>
        <v>33.8</v>
      </c>
      <c r="M54" s="23">
        <v>82.6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>
      <c r="A55" s="15">
        <v>3.0</v>
      </c>
      <c r="B55" s="3" t="s">
        <v>61</v>
      </c>
      <c r="C55" s="28">
        <v>92.12</v>
      </c>
      <c r="D55" s="28">
        <v>97.94</v>
      </c>
      <c r="E55" s="28">
        <v>82.91</v>
      </c>
      <c r="F55" s="28">
        <v>94.32</v>
      </c>
      <c r="G55" s="28">
        <v>75.81</v>
      </c>
      <c r="H55" s="28">
        <f>IFERROR(__xludf.DUMMYFUNCTION("ROUND(AVERAGE.WEIGHTED(C55:G55,C$13:G$13),2)"),87.65)</f>
        <v>87.65</v>
      </c>
      <c r="I55" s="28">
        <v>38.43</v>
      </c>
      <c r="J55" s="28">
        <v>54.33</v>
      </c>
      <c r="K55" s="28">
        <v>37.6</v>
      </c>
      <c r="L55" s="23">
        <f>IFERROR(__xludf.DUMMYFUNCTION("ROUND(AVERAGE.WEIGHTED(I55:K55,I$13:K$13),2)"),41.9)</f>
        <v>41.9</v>
      </c>
      <c r="M55" s="23">
        <v>84.87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>
      <c r="A56" s="15">
        <v>3.0</v>
      </c>
      <c r="B56" s="3" t="s">
        <v>62</v>
      </c>
      <c r="C56" s="28">
        <v>91.73</v>
      </c>
      <c r="D56" s="28">
        <v>98.15</v>
      </c>
      <c r="E56" s="28">
        <v>80.95</v>
      </c>
      <c r="F56" s="28">
        <v>94.68</v>
      </c>
      <c r="G56" s="28">
        <v>75.03</v>
      </c>
      <c r="H56" s="28">
        <f>IFERROR(__xludf.DUMMYFUNCTION("ROUND(AVERAGE.WEIGHTED(C56:G56,C$13:G$13),2)"),86.63)</f>
        <v>86.63</v>
      </c>
      <c r="I56" s="28">
        <v>37.09</v>
      </c>
      <c r="J56" s="28">
        <v>54.03</v>
      </c>
      <c r="K56" s="28">
        <v>34.97</v>
      </c>
      <c r="L56" s="23">
        <f>IFERROR(__xludf.DUMMYFUNCTION("ROUND(AVERAGE.WEIGHTED(I56:K56,I$13:K$13),2)"),40.39)</f>
        <v>40.39</v>
      </c>
      <c r="M56" s="23">
        <v>83.82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>
      <c r="A57" s="15">
        <v>3.0</v>
      </c>
      <c r="B57" s="3" t="s">
        <v>63</v>
      </c>
      <c r="C57" s="28">
        <v>91.34</v>
      </c>
      <c r="D57" s="28">
        <v>97.76</v>
      </c>
      <c r="E57" s="28">
        <v>82.57</v>
      </c>
      <c r="F57" s="28">
        <v>94.76</v>
      </c>
      <c r="G57" s="28">
        <v>75.27</v>
      </c>
      <c r="H57" s="28">
        <f>IFERROR(__xludf.DUMMYFUNCTION("ROUND(AVERAGE.WEIGHTED(C57:G57,C$13:G$13),2)"),87.42)</f>
        <v>87.42</v>
      </c>
      <c r="I57" s="28">
        <v>36.77</v>
      </c>
      <c r="J57" s="28">
        <v>55.07</v>
      </c>
      <c r="K57" s="28">
        <v>37.49</v>
      </c>
      <c r="L57" s="23">
        <f>IFERROR(__xludf.DUMMYFUNCTION("ROUND(AVERAGE.WEIGHTED(I57:K57,I$13:K$13),2)"),41.3)</f>
        <v>41.3</v>
      </c>
      <c r="M57" s="23">
        <v>84.61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>
      <c r="A58" s="15">
        <v>3.0</v>
      </c>
      <c r="B58" s="3" t="s">
        <v>64</v>
      </c>
      <c r="C58" s="28">
        <v>92.3</v>
      </c>
      <c r="D58" s="28">
        <v>97.78</v>
      </c>
      <c r="E58" s="28">
        <v>82.78</v>
      </c>
      <c r="F58" s="28">
        <v>95.1</v>
      </c>
      <c r="G58" s="28">
        <v>75.09</v>
      </c>
      <c r="H58" s="28">
        <f>IFERROR(__xludf.DUMMYFUNCTION("ROUND(AVERAGE.WEIGHTED(C58:G58,C$13:G$13),2)"),87.72)</f>
        <v>87.72</v>
      </c>
      <c r="I58" s="28">
        <v>36.22</v>
      </c>
      <c r="J58" s="28">
        <v>51.79</v>
      </c>
      <c r="K58" s="28">
        <v>36.72</v>
      </c>
      <c r="L58" s="23">
        <f>IFERROR(__xludf.DUMMYFUNCTION("ROUND(AVERAGE.WEIGHTED(I58:K58,I$13:K$13),2)"),40.03)</f>
        <v>40.03</v>
      </c>
      <c r="M58" s="23">
        <v>84.82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>
      <c r="A59" s="15">
        <v>3.0</v>
      </c>
      <c r="B59" s="3" t="s">
        <v>65</v>
      </c>
      <c r="C59" s="28">
        <v>92.01</v>
      </c>
      <c r="D59" s="28">
        <v>97.92</v>
      </c>
      <c r="E59" s="28">
        <v>82.15</v>
      </c>
      <c r="F59" s="28">
        <v>95.09</v>
      </c>
      <c r="G59" s="28">
        <v>74.79</v>
      </c>
      <c r="H59" s="28">
        <f>IFERROR(__xludf.DUMMYFUNCTION("ROUND(AVERAGE.WEIGHTED(C59:G59,C$13:G$13),2)"),87.35)</f>
        <v>87.35</v>
      </c>
      <c r="I59" s="28">
        <v>37.48</v>
      </c>
      <c r="J59" s="28">
        <v>57.01</v>
      </c>
      <c r="K59" s="28">
        <v>36.83</v>
      </c>
      <c r="L59" s="23">
        <f>IFERROR(__xludf.DUMMYFUNCTION("ROUND(AVERAGE.WEIGHTED(I59:K59,I$13:K$13),2)"),41.85)</f>
        <v>41.85</v>
      </c>
      <c r="M59" s="23">
        <v>84.58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>
      <c r="A60" s="15">
        <v>3.0</v>
      </c>
      <c r="B60" s="3" t="s">
        <v>66</v>
      </c>
      <c r="C60" s="28">
        <v>91.69</v>
      </c>
      <c r="D60" s="28">
        <v>97.78</v>
      </c>
      <c r="E60" s="28">
        <v>82.86</v>
      </c>
      <c r="F60" s="28">
        <v>94.99</v>
      </c>
      <c r="G60" s="28">
        <v>75.09</v>
      </c>
      <c r="H60" s="28">
        <f>IFERROR(__xludf.DUMMYFUNCTION("ROUND(AVERAGE.WEIGHTED(C60:G60,C$13:G$13),2)"),87.66)</f>
        <v>87.66</v>
      </c>
      <c r="I60" s="28">
        <v>35.2</v>
      </c>
      <c r="J60" s="28">
        <v>54.48</v>
      </c>
      <c r="K60" s="28">
        <v>37.27</v>
      </c>
      <c r="L60" s="23">
        <f>IFERROR(__xludf.DUMMYFUNCTION("ROUND(AVERAGE.WEIGHTED(I60:K60,I$13:K$13),2)"),40.39)</f>
        <v>40.39</v>
      </c>
      <c r="M60" s="23">
        <v>84.78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>
      <c r="A61" s="15">
        <v>3.0</v>
      </c>
      <c r="B61" s="3" t="s">
        <v>67</v>
      </c>
      <c r="C61" s="28">
        <v>91.66</v>
      </c>
      <c r="D61" s="28">
        <v>97.99</v>
      </c>
      <c r="E61" s="28">
        <v>82.61</v>
      </c>
      <c r="F61" s="28">
        <v>94.54</v>
      </c>
      <c r="G61" s="28">
        <v>76.11</v>
      </c>
      <c r="H61" s="28">
        <f>IFERROR(__xludf.DUMMYFUNCTION("ROUND(AVERAGE.WEIGHTED(C61:G61,C$13:G$13),2)"),87.49)</f>
        <v>87.49</v>
      </c>
      <c r="I61" s="28">
        <v>34.8</v>
      </c>
      <c r="J61" s="28">
        <v>52.84</v>
      </c>
      <c r="K61" s="28">
        <v>33.44</v>
      </c>
      <c r="L61" s="23">
        <f>IFERROR(__xludf.DUMMYFUNCTION("ROUND(AVERAGE.WEIGHTED(I61:K61,I$13:K$13),2)"),38.6)</f>
        <v>38.6</v>
      </c>
      <c r="M61" s="23">
        <v>84.52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>
      <c r="A62" s="15">
        <v>3.0</v>
      </c>
      <c r="B62" s="3" t="s">
        <v>68</v>
      </c>
      <c r="C62" s="28">
        <v>91.66</v>
      </c>
      <c r="D62" s="28">
        <v>97.6</v>
      </c>
      <c r="E62" s="28">
        <v>81.95</v>
      </c>
      <c r="F62" s="28">
        <v>94.49</v>
      </c>
      <c r="G62" s="28">
        <v>75.03</v>
      </c>
      <c r="H62" s="28">
        <f>IFERROR(__xludf.DUMMYFUNCTION("ROUND(AVERAGE.WEIGHTED(C62:G62,C$13:G$13),2)"),87.06)</f>
        <v>87.06</v>
      </c>
      <c r="I62" s="28">
        <v>36.46</v>
      </c>
      <c r="J62" s="28">
        <v>54.48</v>
      </c>
      <c r="K62" s="28">
        <v>36.94</v>
      </c>
      <c r="L62" s="23">
        <f>IFERROR(__xludf.DUMMYFUNCTION("ROUND(AVERAGE.WEIGHTED(I62:K62,I$13:K$13),2)"),40.84)</f>
        <v>40.84</v>
      </c>
      <c r="M62" s="23">
        <v>84.25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>
      <c r="A63" s="15">
        <v>3.0</v>
      </c>
      <c r="B63" s="3" t="s">
        <v>69</v>
      </c>
      <c r="C63" s="28">
        <v>91.71</v>
      </c>
      <c r="D63" s="28">
        <v>97.49</v>
      </c>
      <c r="E63" s="28">
        <v>82.64</v>
      </c>
      <c r="F63" s="28">
        <v>94.62</v>
      </c>
      <c r="G63" s="28">
        <v>74.79</v>
      </c>
      <c r="H63" s="28">
        <f>IFERROR(__xludf.DUMMYFUNCTION("ROUND(AVERAGE.WEIGHTED(C63:G63,C$13:G$13),2)"),87.43)</f>
        <v>87.43</v>
      </c>
      <c r="I63" s="28">
        <v>33.39</v>
      </c>
      <c r="J63" s="28">
        <v>53.13</v>
      </c>
      <c r="K63" s="28">
        <v>33.99</v>
      </c>
      <c r="L63" s="23">
        <f>IFERROR(__xludf.DUMMYFUNCTION("ROUND(AVERAGE.WEIGHTED(I63:K63,I$13:K$13),2)"),38.21)</f>
        <v>38.21</v>
      </c>
      <c r="M63" s="23">
        <v>84.44</v>
      </c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>
      <c r="A64" s="15">
        <v>3.0</v>
      </c>
      <c r="B64" s="3" t="s">
        <v>70</v>
      </c>
      <c r="C64" s="28">
        <v>91.81</v>
      </c>
      <c r="D64" s="28">
        <v>97.46</v>
      </c>
      <c r="E64" s="28">
        <v>82.62</v>
      </c>
      <c r="F64" s="28">
        <v>94.57</v>
      </c>
      <c r="G64" s="28">
        <v>75.03</v>
      </c>
      <c r="H64" s="28">
        <f>IFERROR(__xludf.DUMMYFUNCTION("ROUND(AVERAGE.WEIGHTED(C64:G64,C$13:G$13),2)"),87.43)</f>
        <v>87.43</v>
      </c>
      <c r="I64" s="28">
        <v>36.38</v>
      </c>
      <c r="J64" s="28">
        <v>53.43</v>
      </c>
      <c r="K64" s="28">
        <v>38.36</v>
      </c>
      <c r="L64" s="23">
        <f>IFERROR(__xludf.DUMMYFUNCTION("ROUND(AVERAGE.WEIGHTED(I64:K64,I$13:K$13),2)"),41.02)</f>
        <v>41.02</v>
      </c>
      <c r="M64" s="23">
        <v>84.61</v>
      </c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>
      <c r="A65" s="15">
        <v>3.0</v>
      </c>
      <c r="B65" s="3" t="s">
        <v>71</v>
      </c>
      <c r="C65" s="28">
        <v>91.24</v>
      </c>
      <c r="D65" s="28">
        <v>97.9</v>
      </c>
      <c r="E65" s="28">
        <v>82.54</v>
      </c>
      <c r="F65" s="28">
        <v>94.79</v>
      </c>
      <c r="G65" s="28">
        <v>74.79</v>
      </c>
      <c r="H65" s="28">
        <f>IFERROR(__xludf.DUMMYFUNCTION("ROUND(AVERAGE.WEIGHTED(C65:G65,C$13:G$13),2)"),87.39)</f>
        <v>87.39</v>
      </c>
      <c r="I65" s="28">
        <v>38.11</v>
      </c>
      <c r="J65" s="28">
        <v>54.93</v>
      </c>
      <c r="K65" s="28">
        <v>36.07</v>
      </c>
      <c r="L65" s="23">
        <f>IFERROR(__xludf.DUMMYFUNCTION("ROUND(AVERAGE.WEIGHTED(I65:K65,I$13:K$13),2)"),41.4)</f>
        <v>41.4</v>
      </c>
      <c r="M65" s="23">
        <v>84.59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>
      <c r="A66" s="15">
        <v>3.0</v>
      </c>
      <c r="B66" s="3" t="s">
        <v>72</v>
      </c>
      <c r="C66" s="28">
        <v>91.61</v>
      </c>
      <c r="D66" s="28">
        <v>97.53</v>
      </c>
      <c r="E66" s="28">
        <v>82.47</v>
      </c>
      <c r="F66" s="28">
        <v>94.17</v>
      </c>
      <c r="G66" s="28">
        <v>73.71</v>
      </c>
      <c r="H66" s="28">
        <f>IFERROR(__xludf.DUMMYFUNCTION("ROUND(AVERAGE.WEIGHTED(C66:G66,C$13:G$13),2)"),87.2)</f>
        <v>87.2</v>
      </c>
      <c r="I66" s="28">
        <v>33.07</v>
      </c>
      <c r="J66" s="28">
        <v>52.39</v>
      </c>
      <c r="K66" s="28">
        <v>35.08</v>
      </c>
      <c r="L66" s="23">
        <f>IFERROR(__xludf.DUMMYFUNCTION("ROUND(AVERAGE.WEIGHTED(I66:K66,I$13:K$13),2)"),38.25)</f>
        <v>38.25</v>
      </c>
      <c r="M66" s="23">
        <v>84.23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>
      <c r="A67" s="15">
        <v>3.0</v>
      </c>
      <c r="B67" s="3" t="s">
        <v>73</v>
      </c>
      <c r="C67" s="28">
        <v>92.03</v>
      </c>
      <c r="D67" s="28">
        <v>97.62</v>
      </c>
      <c r="E67" s="28">
        <v>82.34</v>
      </c>
      <c r="F67" s="28">
        <v>94.51</v>
      </c>
      <c r="G67" s="28">
        <v>74.85</v>
      </c>
      <c r="H67" s="28">
        <f>IFERROR(__xludf.DUMMYFUNCTION("ROUND(AVERAGE.WEIGHTED(C67:G67,C$13:G$13),2)"),87.31)</f>
        <v>87.31</v>
      </c>
      <c r="I67" s="28">
        <v>33.78</v>
      </c>
      <c r="J67" s="28">
        <v>53.13</v>
      </c>
      <c r="K67" s="28">
        <v>34.43</v>
      </c>
      <c r="L67" s="23">
        <f>IFERROR(__xludf.DUMMYFUNCTION("ROUND(AVERAGE.WEIGHTED(I67:K67,I$13:K$13),2)"),38.53)</f>
        <v>38.53</v>
      </c>
      <c r="M67" s="23">
        <v>84.35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>
      <c r="A68" s="15">
        <v>3.0</v>
      </c>
      <c r="B68" s="3" t="s">
        <v>74</v>
      </c>
      <c r="C68" s="28">
        <v>91.47</v>
      </c>
      <c r="D68" s="28">
        <v>97.62</v>
      </c>
      <c r="E68" s="28">
        <v>81.57</v>
      </c>
      <c r="F68" s="28">
        <v>94.73</v>
      </c>
      <c r="G68" s="28">
        <v>74.61</v>
      </c>
      <c r="H68" s="28">
        <f>IFERROR(__xludf.DUMMYFUNCTION("ROUND(AVERAGE.WEIGHTED(C68:G68,C$13:G$13),2)"),86.86)</f>
        <v>86.86</v>
      </c>
      <c r="I68" s="28">
        <v>35.51</v>
      </c>
      <c r="J68" s="28">
        <v>53.13</v>
      </c>
      <c r="K68" s="28">
        <v>35.85</v>
      </c>
      <c r="L68" s="23">
        <f>IFERROR(__xludf.DUMMYFUNCTION("ROUND(AVERAGE.WEIGHTED(I68:K68,I$13:K$13),2)"),39.75)</f>
        <v>39.75</v>
      </c>
      <c r="M68" s="23">
        <v>84.0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>
      <c r="A69" s="15">
        <v>3.0</v>
      </c>
      <c r="B69" s="3" t="s">
        <v>75</v>
      </c>
      <c r="C69" s="28">
        <v>91.83</v>
      </c>
      <c r="D69" s="28">
        <v>97.49</v>
      </c>
      <c r="E69" s="28">
        <v>82.63</v>
      </c>
      <c r="F69" s="28">
        <v>94.77</v>
      </c>
      <c r="G69" s="28">
        <v>74.49</v>
      </c>
      <c r="H69" s="28">
        <f>IFERROR(__xludf.DUMMYFUNCTION("ROUND(AVERAGE.WEIGHTED(C69:G69,C$13:G$13),2)"),87.46)</f>
        <v>87.46</v>
      </c>
      <c r="I69" s="28">
        <v>34.02</v>
      </c>
      <c r="J69" s="28">
        <v>51.94</v>
      </c>
      <c r="K69" s="28">
        <v>33.77</v>
      </c>
      <c r="L69" s="23">
        <f>IFERROR(__xludf.DUMMYFUNCTION("ROUND(AVERAGE.WEIGHTED(I69:K69,I$13:K$13),2)"),38.15)</f>
        <v>38.15</v>
      </c>
      <c r="M69" s="23">
        <v>84.46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>
      <c r="A70" s="15">
        <v>3.0</v>
      </c>
      <c r="B70" s="3" t="s">
        <v>76</v>
      </c>
      <c r="C70" s="28">
        <v>91.69</v>
      </c>
      <c r="D70" s="28">
        <v>97.71</v>
      </c>
      <c r="E70" s="28">
        <v>83.13</v>
      </c>
      <c r="F70" s="28">
        <v>94.63</v>
      </c>
      <c r="G70" s="28">
        <v>74.91</v>
      </c>
      <c r="H70" s="28">
        <f>IFERROR(__xludf.DUMMYFUNCTION("ROUND(AVERAGE.WEIGHTED(C70:G70,C$13:G$13),2)"),87.72)</f>
        <v>87.72</v>
      </c>
      <c r="I70" s="28">
        <v>33.86</v>
      </c>
      <c r="J70" s="28">
        <v>50.15</v>
      </c>
      <c r="K70" s="28">
        <v>36.07</v>
      </c>
      <c r="L70" s="23">
        <f>IFERROR(__xludf.DUMMYFUNCTION("ROUND(AVERAGE.WEIGHTED(I70:K70,I$13:K$13),2)"),38.39)</f>
        <v>38.39</v>
      </c>
      <c r="M70" s="23">
        <v>84.72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>
      <c r="A71" s="15">
        <v>3.0</v>
      </c>
      <c r="B71" s="3" t="s">
        <v>77</v>
      </c>
      <c r="C71" s="28">
        <v>92.13</v>
      </c>
      <c r="D71" s="28">
        <v>97.76</v>
      </c>
      <c r="E71" s="28">
        <v>82.04</v>
      </c>
      <c r="F71" s="28">
        <v>94.78</v>
      </c>
      <c r="G71" s="28">
        <v>74.61</v>
      </c>
      <c r="H71" s="28">
        <f>IFERROR(__xludf.DUMMYFUNCTION("ROUND(AVERAGE.WEIGHTED(C71:G71,C$13:G$13),2)"),87.22)</f>
        <v>87.22</v>
      </c>
      <c r="I71" s="28">
        <v>34.41</v>
      </c>
      <c r="J71" s="28">
        <v>51.79</v>
      </c>
      <c r="K71" s="28">
        <v>36.94</v>
      </c>
      <c r="L71" s="23">
        <f>IFERROR(__xludf.DUMMYFUNCTION("ROUND(AVERAGE.WEIGHTED(I71:K71,I$13:K$13),2)"),39.3)</f>
        <v>39.3</v>
      </c>
      <c r="M71" s="23">
        <v>84.31</v>
      </c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>
      <c r="A72" s="15">
        <v>3.0</v>
      </c>
      <c r="B72" s="3" t="s">
        <v>78</v>
      </c>
      <c r="C72" s="28">
        <v>91.64</v>
      </c>
      <c r="D72" s="28">
        <v>97.76</v>
      </c>
      <c r="E72" s="28">
        <v>82.8</v>
      </c>
      <c r="F72" s="28">
        <v>94.78</v>
      </c>
      <c r="G72" s="28">
        <v>74.43</v>
      </c>
      <c r="H72" s="28">
        <f>IFERROR(__xludf.DUMMYFUNCTION("ROUND(AVERAGE.WEIGHTED(C72:G72,C$13:G$13),2)"),87.55)</f>
        <v>87.55</v>
      </c>
      <c r="I72" s="28">
        <v>34.09</v>
      </c>
      <c r="J72" s="28">
        <v>52.69</v>
      </c>
      <c r="K72" s="28">
        <v>35.08</v>
      </c>
      <c r="L72" s="23">
        <f>IFERROR(__xludf.DUMMYFUNCTION("ROUND(AVERAGE.WEIGHTED(I72:K72,I$13:K$13),2)"),38.77)</f>
        <v>38.77</v>
      </c>
      <c r="M72" s="23">
        <v>84.59</v>
      </c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>
      <c r="A73" s="15">
        <v>3.0</v>
      </c>
      <c r="B73" s="3" t="s">
        <v>79</v>
      </c>
      <c r="C73" s="28">
        <v>91.61</v>
      </c>
      <c r="D73" s="28">
        <v>97.58</v>
      </c>
      <c r="E73" s="28">
        <v>81.84</v>
      </c>
      <c r="F73" s="28">
        <v>94.56</v>
      </c>
      <c r="G73" s="28">
        <v>72.51</v>
      </c>
      <c r="H73" s="28">
        <f>IFERROR(__xludf.DUMMYFUNCTION("ROUND(AVERAGE.WEIGHTED(C73:G73,C$13:G$13),2)"),86.91)</f>
        <v>86.91</v>
      </c>
      <c r="I73" s="28">
        <v>33.86</v>
      </c>
      <c r="J73" s="28">
        <v>52.54</v>
      </c>
      <c r="K73" s="28">
        <v>35.19</v>
      </c>
      <c r="L73" s="23">
        <f>IFERROR(__xludf.DUMMYFUNCTION("ROUND(AVERAGE.WEIGHTED(I73:K73,I$13:K$13),2)"),38.67)</f>
        <v>38.67</v>
      </c>
      <c r="M73" s="23">
        <v>83.97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>
      <c r="A74" s="15">
        <v>3.0</v>
      </c>
      <c r="B74" s="3" t="s">
        <v>80</v>
      </c>
      <c r="C74" s="28">
        <v>91.64</v>
      </c>
      <c r="D74" s="28">
        <v>97.69</v>
      </c>
      <c r="E74" s="28">
        <v>81.3</v>
      </c>
      <c r="F74" s="28">
        <v>94.57</v>
      </c>
      <c r="G74" s="28">
        <v>74.67</v>
      </c>
      <c r="H74" s="28">
        <f>IFERROR(__xludf.DUMMYFUNCTION("ROUND(AVERAGE.WEIGHTED(C74:G74,C$13:G$13),2)"),86.72)</f>
        <v>86.72</v>
      </c>
      <c r="I74" s="28">
        <v>37.72</v>
      </c>
      <c r="J74" s="28">
        <v>54.03</v>
      </c>
      <c r="K74" s="28">
        <v>36.28</v>
      </c>
      <c r="L74" s="23">
        <f>IFERROR(__xludf.DUMMYFUNCTION("ROUND(AVERAGE.WEIGHTED(I74:K74,I$13:K$13),2)"),41.09)</f>
        <v>41.09</v>
      </c>
      <c r="M74" s="23">
        <v>83.95</v>
      </c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>
      <c r="A75" s="15">
        <v>3.0</v>
      </c>
      <c r="B75" s="3" t="s">
        <v>81</v>
      </c>
      <c r="C75" s="28">
        <v>90.76</v>
      </c>
      <c r="D75" s="28">
        <v>97.19</v>
      </c>
      <c r="E75" s="28">
        <v>81.52</v>
      </c>
      <c r="F75" s="28">
        <v>93.38</v>
      </c>
      <c r="G75" s="28">
        <v>72.99</v>
      </c>
      <c r="H75" s="28">
        <f>IFERROR(__xludf.DUMMYFUNCTION("ROUND(AVERAGE.WEIGHTED(C75:G75,C$13:G$13),2)"),86.37)</f>
        <v>86.37</v>
      </c>
      <c r="I75" s="28">
        <v>33.46</v>
      </c>
      <c r="J75" s="28">
        <v>48.21</v>
      </c>
      <c r="K75" s="28">
        <v>33.11</v>
      </c>
      <c r="L75" s="23">
        <f>IFERROR(__xludf.DUMMYFUNCTION("ROUND(AVERAGE.WEIGHTED(I75:K75,I$13:K$13),2)"),36.81)</f>
        <v>36.81</v>
      </c>
      <c r="M75" s="23">
        <v>83.35</v>
      </c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>
      <c r="A76" s="15"/>
      <c r="B76" s="3"/>
      <c r="C76" s="15"/>
      <c r="D76" s="15"/>
      <c r="E76" s="15"/>
      <c r="F76" s="15"/>
      <c r="G76" s="15"/>
      <c r="H76" s="15"/>
      <c r="I76" s="15"/>
      <c r="J76" s="15"/>
      <c r="K76" s="15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>
      <c r="A77" s="15">
        <v>5.0</v>
      </c>
      <c r="B77" s="3" t="s">
        <v>60</v>
      </c>
      <c r="C77" s="28">
        <v>91.0</v>
      </c>
      <c r="D77" s="28">
        <v>97.78</v>
      </c>
      <c r="E77" s="28">
        <v>81.82</v>
      </c>
      <c r="F77" s="28">
        <v>94.57</v>
      </c>
      <c r="G77" s="28">
        <v>72.4</v>
      </c>
      <c r="H77" s="28">
        <f>IFERROR(__xludf.DUMMYFUNCTION("ROUND(AVERAGE.WEIGHTED(C77:G77,C$13:G$13),2)"),86.83)</f>
        <v>86.83</v>
      </c>
      <c r="I77" s="28">
        <v>31.34</v>
      </c>
      <c r="J77" s="28">
        <v>48.36</v>
      </c>
      <c r="K77" s="28">
        <v>34.43</v>
      </c>
      <c r="L77" s="23">
        <f>IFERROR(__xludf.DUMMYFUNCTION("ROUND(AVERAGE.WEIGHTED(I77:K77,I$13:K$13),2)"),36.32)</f>
        <v>36.32</v>
      </c>
      <c r="M77" s="23">
        <v>83.76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>
      <c r="A78" s="15">
        <v>5.0</v>
      </c>
      <c r="B78" s="3" t="s">
        <v>61</v>
      </c>
      <c r="C78" s="28">
        <v>92.93</v>
      </c>
      <c r="D78" s="28">
        <v>98.08</v>
      </c>
      <c r="E78" s="28">
        <v>83.48</v>
      </c>
      <c r="F78" s="28">
        <v>95.25</v>
      </c>
      <c r="G78" s="28">
        <v>77.25</v>
      </c>
      <c r="H78" s="28">
        <f>IFERROR(__xludf.DUMMYFUNCTION("ROUND(AVERAGE.WEIGHTED(C78:G78,C$13:G$13),2)"),88.32)</f>
        <v>88.32</v>
      </c>
      <c r="I78" s="28">
        <v>40.87</v>
      </c>
      <c r="J78" s="28">
        <v>56.27</v>
      </c>
      <c r="K78" s="28">
        <v>41.2</v>
      </c>
      <c r="L78" s="23">
        <f>IFERROR(__xludf.DUMMYFUNCTION("ROUND(AVERAGE.WEIGHTED(I78:K78,I$13:K$13),2)"),44.59)</f>
        <v>44.59</v>
      </c>
      <c r="M78" s="23">
        <v>85.66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>
      <c r="A79" s="15">
        <v>5.0</v>
      </c>
      <c r="B79" s="3" t="s">
        <v>62</v>
      </c>
      <c r="C79" s="28">
        <v>92.32</v>
      </c>
      <c r="D79" s="28">
        <v>98.35</v>
      </c>
      <c r="E79" s="28">
        <v>82.09</v>
      </c>
      <c r="F79" s="28">
        <v>95.3</v>
      </c>
      <c r="G79" s="28">
        <v>75.45</v>
      </c>
      <c r="H79" s="28">
        <f>IFERROR(__xludf.DUMMYFUNCTION("ROUND(AVERAGE.WEIGHTED(C79:G79,C$13:G$13),2)"),87.47)</f>
        <v>87.47</v>
      </c>
      <c r="I79" s="28">
        <v>38.43</v>
      </c>
      <c r="J79" s="28">
        <v>54.63</v>
      </c>
      <c r="K79" s="28">
        <v>37.05</v>
      </c>
      <c r="L79" s="23">
        <f>IFERROR(__xludf.DUMMYFUNCTION("ROUND(AVERAGE.WEIGHTED(I79:K79,I$13:K$13),2)"),41.79)</f>
        <v>41.79</v>
      </c>
      <c r="M79" s="23">
        <v>84.69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>
      <c r="A80" s="15">
        <v>5.0</v>
      </c>
      <c r="B80" s="3" t="s">
        <v>63</v>
      </c>
      <c r="C80" s="28">
        <v>92.44</v>
      </c>
      <c r="D80" s="28">
        <v>98.26</v>
      </c>
      <c r="E80" s="28">
        <v>83.12</v>
      </c>
      <c r="F80" s="28">
        <v>95.52</v>
      </c>
      <c r="G80" s="28">
        <v>76.95</v>
      </c>
      <c r="H80" s="28">
        <f>IFERROR(__xludf.DUMMYFUNCTION("ROUND(AVERAGE.WEIGHTED(C80:G80,C$13:G$13),2)"),88.12)</f>
        <v>88.12</v>
      </c>
      <c r="I80" s="28">
        <v>39.76</v>
      </c>
      <c r="J80" s="28">
        <v>57.01</v>
      </c>
      <c r="K80" s="28">
        <v>40.98</v>
      </c>
      <c r="L80" s="23">
        <f>IFERROR(__xludf.DUMMYFUNCTION("ROUND(AVERAGE.WEIGHTED(I80:K80,I$13:K$13),2)"),44.2)</f>
        <v>44.2</v>
      </c>
      <c r="M80" s="23">
        <v>85.45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>
      <c r="A81" s="15">
        <v>5.0</v>
      </c>
      <c r="B81" s="3" t="s">
        <v>64</v>
      </c>
      <c r="C81" s="28">
        <v>92.89</v>
      </c>
      <c r="D81" s="28">
        <v>98.03</v>
      </c>
      <c r="E81" s="28">
        <v>83.2</v>
      </c>
      <c r="F81" s="28">
        <v>95.64</v>
      </c>
      <c r="G81" s="28">
        <v>77.43</v>
      </c>
      <c r="H81" s="28">
        <f>IFERROR(__xludf.DUMMYFUNCTION("ROUND(AVERAGE.WEIGHTED(C81:G81,C$13:G$13),2)"),88.24)</f>
        <v>88.24</v>
      </c>
      <c r="I81" s="28">
        <v>38.9</v>
      </c>
      <c r="J81" s="28">
        <v>55.52</v>
      </c>
      <c r="K81" s="28">
        <v>39.89</v>
      </c>
      <c r="L81" s="23">
        <f>IFERROR(__xludf.DUMMYFUNCTION("ROUND(AVERAGE.WEIGHTED(I81:K81,I$13:K$13),2)"),43.12)</f>
        <v>43.12</v>
      </c>
      <c r="M81" s="23">
        <v>85.5</v>
      </c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>
      <c r="A82" s="15">
        <v>5.0</v>
      </c>
      <c r="B82" s="3" t="s">
        <v>65</v>
      </c>
      <c r="C82" s="28">
        <v>92.54</v>
      </c>
      <c r="D82" s="28">
        <v>97.99</v>
      </c>
      <c r="E82" s="28">
        <v>82.77</v>
      </c>
      <c r="F82" s="28">
        <v>95.56</v>
      </c>
      <c r="G82" s="28">
        <v>74.67</v>
      </c>
      <c r="H82" s="28">
        <f>IFERROR(__xludf.DUMMYFUNCTION("ROUND(AVERAGE.WEIGHTED(C82:G82,C$13:G$13),2)"),87.85)</f>
        <v>87.85</v>
      </c>
      <c r="I82" s="28">
        <v>37.64</v>
      </c>
      <c r="J82" s="28">
        <v>57.76</v>
      </c>
      <c r="K82" s="28">
        <v>37.7</v>
      </c>
      <c r="L82" s="23">
        <f>IFERROR(__xludf.DUMMYFUNCTION("ROUND(AVERAGE.WEIGHTED(I82:K82,I$13:K$13),2)"),42.38)</f>
        <v>42.38</v>
      </c>
      <c r="M82" s="23">
        <v>85.08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>
      <c r="A83" s="15">
        <v>5.0</v>
      </c>
      <c r="B83" s="3" t="s">
        <v>66</v>
      </c>
      <c r="C83" s="28">
        <v>92.72</v>
      </c>
      <c r="D83" s="28">
        <v>98.26</v>
      </c>
      <c r="E83" s="28">
        <v>83.24</v>
      </c>
      <c r="F83" s="28">
        <v>95.63</v>
      </c>
      <c r="G83" s="28">
        <v>77.37</v>
      </c>
      <c r="H83" s="28">
        <f>IFERROR(__xludf.DUMMYFUNCTION("ROUND(AVERAGE.WEIGHTED(C83:G83,C$13:G$13),2)"),88.26)</f>
        <v>88.26</v>
      </c>
      <c r="I83" s="28">
        <v>37.95</v>
      </c>
      <c r="J83" s="28">
        <v>56.57</v>
      </c>
      <c r="K83" s="28">
        <v>40.55</v>
      </c>
      <c r="L83" s="23">
        <f>IFERROR(__xludf.DUMMYFUNCTION("ROUND(AVERAGE.WEIGHTED(I83:K83,I$13:K$13),2)"),43.15)</f>
        <v>43.15</v>
      </c>
      <c r="M83" s="23">
        <v>85.52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>
      <c r="A84" s="15">
        <v>5.0</v>
      </c>
      <c r="B84" s="3" t="s">
        <v>67</v>
      </c>
      <c r="C84" s="28">
        <v>92.72</v>
      </c>
      <c r="D84" s="28">
        <v>98.22</v>
      </c>
      <c r="E84" s="28">
        <v>83.1</v>
      </c>
      <c r="F84" s="28">
        <v>95.37</v>
      </c>
      <c r="G84" s="28">
        <v>76.83</v>
      </c>
      <c r="H84" s="28">
        <f>IFERROR(__xludf.DUMMYFUNCTION("ROUND(AVERAGE.WEIGHTED(C84:G84,C$13:G$13),2)"),88.11)</f>
        <v>88.11</v>
      </c>
      <c r="I84" s="28">
        <v>37.24</v>
      </c>
      <c r="J84" s="28">
        <v>53.73</v>
      </c>
      <c r="K84" s="28">
        <v>37.38</v>
      </c>
      <c r="L84" s="23">
        <f>IFERROR(__xludf.DUMMYFUNCTION("ROUND(AVERAGE.WEIGHTED(I84:K84,I$13:K$13),2)"),41.15)</f>
        <v>41.15</v>
      </c>
      <c r="M84" s="23">
        <v>85.26</v>
      </c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>
      <c r="A85" s="15">
        <v>5.0</v>
      </c>
      <c r="B85" s="3" t="s">
        <v>68</v>
      </c>
      <c r="C85" s="28">
        <v>92.12</v>
      </c>
      <c r="D85" s="28">
        <v>97.58</v>
      </c>
      <c r="E85" s="28">
        <v>83.06</v>
      </c>
      <c r="F85" s="28">
        <v>95.33</v>
      </c>
      <c r="G85" s="28">
        <v>75.51</v>
      </c>
      <c r="H85" s="28">
        <f>IFERROR(__xludf.DUMMYFUNCTION("ROUND(AVERAGE.WEIGHTED(C85:G85,C$13:G$13),2)"),87.89)</f>
        <v>87.89</v>
      </c>
      <c r="I85" s="28">
        <v>37.01</v>
      </c>
      <c r="J85" s="28">
        <v>55.37</v>
      </c>
      <c r="K85" s="28">
        <v>37.7</v>
      </c>
      <c r="L85" s="23">
        <f>IFERROR(__xludf.DUMMYFUNCTION("ROUND(AVERAGE.WEIGHTED(I85:K85,I$13:K$13),2)"),41.54)</f>
        <v>41.54</v>
      </c>
      <c r="M85" s="23">
        <v>85.07</v>
      </c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>
      <c r="A86" s="15">
        <v>5.0</v>
      </c>
      <c r="B86" s="3" t="s">
        <v>69</v>
      </c>
      <c r="C86" s="28">
        <v>92.72</v>
      </c>
      <c r="D86" s="28">
        <v>97.74</v>
      </c>
      <c r="E86" s="28">
        <v>83.23</v>
      </c>
      <c r="F86" s="28">
        <v>95.53</v>
      </c>
      <c r="G86" s="28">
        <v>77.37</v>
      </c>
      <c r="H86" s="28">
        <f>IFERROR(__xludf.DUMMYFUNCTION("ROUND(AVERAGE.WEIGHTED(C86:G86,C$13:G$13),2)"),88.18)</f>
        <v>88.18</v>
      </c>
      <c r="I86" s="28">
        <v>38.03</v>
      </c>
      <c r="J86" s="28">
        <v>56.27</v>
      </c>
      <c r="K86" s="28">
        <v>38.36</v>
      </c>
      <c r="L86" s="23">
        <f>IFERROR(__xludf.DUMMYFUNCTION("ROUND(AVERAGE.WEIGHTED(I86:K86,I$13:K$13),2)"),42.42)</f>
        <v>42.42</v>
      </c>
      <c r="M86" s="23">
        <v>85.4</v>
      </c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>
      <c r="A87" s="15">
        <v>5.0</v>
      </c>
      <c r="B87" s="3" t="s">
        <v>70</v>
      </c>
      <c r="C87" s="28">
        <v>92.66</v>
      </c>
      <c r="D87" s="28">
        <v>97.71</v>
      </c>
      <c r="E87" s="28">
        <v>83.12</v>
      </c>
      <c r="F87" s="28">
        <v>95.21</v>
      </c>
      <c r="G87" s="28">
        <v>75.99</v>
      </c>
      <c r="H87" s="28">
        <f>IFERROR(__xludf.DUMMYFUNCTION("ROUND(AVERAGE.WEIGHTED(C87:G87,C$13:G$13),2)"),88.0)</f>
        <v>88</v>
      </c>
      <c r="I87" s="28">
        <v>38.9</v>
      </c>
      <c r="J87" s="28">
        <v>54.03</v>
      </c>
      <c r="K87" s="28">
        <v>40.33</v>
      </c>
      <c r="L87" s="23">
        <f>IFERROR(__xludf.DUMMYFUNCTION("ROUND(AVERAGE.WEIGHTED(I87:K87,I$13:K$13),2)"),42.91)</f>
        <v>42.91</v>
      </c>
      <c r="M87" s="23">
        <v>85.26</v>
      </c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>
      <c r="A88" s="1">
        <v>5.0</v>
      </c>
      <c r="B88" s="2" t="s">
        <v>71</v>
      </c>
      <c r="C88" s="23">
        <v>91.88</v>
      </c>
      <c r="D88" s="23">
        <v>97.81</v>
      </c>
      <c r="E88" s="23">
        <v>83.06</v>
      </c>
      <c r="F88" s="23">
        <v>95.19</v>
      </c>
      <c r="G88" s="23">
        <v>74.91</v>
      </c>
      <c r="H88" s="23">
        <f>IFERROR(__xludf.DUMMYFUNCTION("ROUND(AVERAGE.WEIGHTED(C88:G88,C$13:G$13),2)"),87.83)</f>
        <v>87.83</v>
      </c>
      <c r="I88" s="23">
        <v>38.11</v>
      </c>
      <c r="J88" s="23">
        <v>53.88</v>
      </c>
      <c r="K88" s="23">
        <v>36.72</v>
      </c>
      <c r="L88" s="23">
        <f>IFERROR(__xludf.DUMMYFUNCTION("ROUND(AVERAGE.WEIGHTED(I88:K88,I$13:K$13),2)"),41.37)</f>
        <v>41.37</v>
      </c>
      <c r="M88" s="23">
        <v>85.0</v>
      </c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>
      <c r="A89" s="1">
        <v>5.0</v>
      </c>
      <c r="B89" s="2" t="s">
        <v>72</v>
      </c>
      <c r="C89" s="23">
        <v>92.74</v>
      </c>
      <c r="D89" s="23">
        <v>97.83</v>
      </c>
      <c r="E89" s="23">
        <v>83.17</v>
      </c>
      <c r="F89" s="23">
        <v>95.19</v>
      </c>
      <c r="G89" s="23">
        <v>75.57</v>
      </c>
      <c r="H89" s="23">
        <f>IFERROR(__xludf.DUMMYFUNCTION("ROUND(AVERAGE.WEIGHTED(C89:G89,C$13:G$13),2)"),88.03)</f>
        <v>88.03</v>
      </c>
      <c r="I89" s="23">
        <v>37.24</v>
      </c>
      <c r="J89" s="23">
        <v>52.24</v>
      </c>
      <c r="K89" s="23">
        <v>38.36</v>
      </c>
      <c r="L89" s="23">
        <f>IFERROR(__xludf.DUMMYFUNCTION("ROUND(AVERAGE.WEIGHTED(I89:K89,I$13:K$13),2)"),41.12)</f>
        <v>41.12</v>
      </c>
      <c r="M89" s="23">
        <v>85.18</v>
      </c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>
      <c r="A90" s="1">
        <v>5.0</v>
      </c>
      <c r="B90" s="2" t="s">
        <v>73</v>
      </c>
      <c r="C90" s="23">
        <v>92.55</v>
      </c>
      <c r="D90" s="23">
        <v>97.81</v>
      </c>
      <c r="E90" s="23">
        <v>83.17</v>
      </c>
      <c r="F90" s="23">
        <v>95.33</v>
      </c>
      <c r="G90" s="23">
        <v>76.77</v>
      </c>
      <c r="H90" s="23">
        <f>IFERROR(__xludf.DUMMYFUNCTION("ROUND(AVERAGE.WEIGHTED(C90:G90,C$13:G$13),2)"),88.07)</f>
        <v>88.07</v>
      </c>
      <c r="I90" s="23">
        <v>38.03</v>
      </c>
      <c r="J90" s="23">
        <v>55.52</v>
      </c>
      <c r="K90" s="23">
        <v>37.81</v>
      </c>
      <c r="L90" s="23">
        <f>IFERROR(__xludf.DUMMYFUNCTION("ROUND(AVERAGE.WEIGHTED(I90:K90,I$13:K$13),2)"),42.06)</f>
        <v>42.06</v>
      </c>
      <c r="M90" s="23">
        <v>85.28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>
      <c r="A91" s="1">
        <v>5.0</v>
      </c>
      <c r="B91" s="2" t="s">
        <v>74</v>
      </c>
      <c r="C91" s="23">
        <v>92.23</v>
      </c>
      <c r="D91" s="23">
        <v>97.87</v>
      </c>
      <c r="E91" s="23">
        <v>82.71</v>
      </c>
      <c r="F91" s="23">
        <v>95.44</v>
      </c>
      <c r="G91" s="23">
        <v>75.39</v>
      </c>
      <c r="H91" s="23">
        <f>IFERROR(__xludf.DUMMYFUNCTION("ROUND(AVERAGE.WEIGHTED(C91:G91,C$13:G$13),2)"),87.76)</f>
        <v>87.76</v>
      </c>
      <c r="I91" s="23">
        <v>36.69</v>
      </c>
      <c r="J91" s="23">
        <v>53.88</v>
      </c>
      <c r="K91" s="23">
        <v>36.94</v>
      </c>
      <c r="L91" s="23">
        <f>IFERROR(__xludf.DUMMYFUNCTION("ROUND(AVERAGE.WEIGHTED(I91:K91,I$13:K$13),2)"),40.8)</f>
        <v>40.8</v>
      </c>
      <c r="M91" s="23">
        <v>84.91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>
      <c r="A92" s="1">
        <v>5.0</v>
      </c>
      <c r="B92" s="2" t="s">
        <v>75</v>
      </c>
      <c r="C92" s="23">
        <v>92.62</v>
      </c>
      <c r="D92" s="23">
        <v>97.92</v>
      </c>
      <c r="E92" s="23">
        <v>83.22</v>
      </c>
      <c r="F92" s="23">
        <v>95.42</v>
      </c>
      <c r="G92" s="23">
        <v>75.93</v>
      </c>
      <c r="H92" s="23">
        <f>IFERROR(__xludf.DUMMYFUNCTION("ROUND(AVERAGE.WEIGHTED(C92:G92,C$13:G$13),2)"),88.11)</f>
        <v>88.11</v>
      </c>
      <c r="I92" s="23">
        <v>38.43</v>
      </c>
      <c r="J92" s="23">
        <v>55.37</v>
      </c>
      <c r="K92" s="23">
        <v>38.69</v>
      </c>
      <c r="L92" s="23">
        <f>IFERROR(__xludf.DUMMYFUNCTION("ROUND(AVERAGE.WEIGHTED(I92:K92,I$13:K$13),2)"),42.49)</f>
        <v>42.49</v>
      </c>
      <c r="M92" s="23">
        <v>85.33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>
      <c r="A93" s="1">
        <v>5.0</v>
      </c>
      <c r="B93" s="2" t="s">
        <v>76</v>
      </c>
      <c r="C93" s="23">
        <v>92.4</v>
      </c>
      <c r="D93" s="23">
        <v>98.17</v>
      </c>
      <c r="E93" s="23">
        <v>83.61</v>
      </c>
      <c r="F93" s="23">
        <v>95.27</v>
      </c>
      <c r="G93" s="23">
        <v>76.77</v>
      </c>
      <c r="H93" s="23">
        <f>IFERROR(__xludf.DUMMYFUNCTION("ROUND(AVERAGE.WEIGHTED(C93:G93,C$13:G$13),2)"),88.31)</f>
        <v>88.31</v>
      </c>
      <c r="I93" s="23">
        <v>37.64</v>
      </c>
      <c r="J93" s="23">
        <v>56.12</v>
      </c>
      <c r="K93" s="23">
        <v>38.14</v>
      </c>
      <c r="L93" s="23">
        <f>IFERROR(__xludf.DUMMYFUNCTION("ROUND(AVERAGE.WEIGHTED(I93:K93,I$13:K$13),2)"),42.14)</f>
        <v>42.14</v>
      </c>
      <c r="M93" s="23">
        <v>85.5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>
      <c r="A94" s="1">
        <v>5.0</v>
      </c>
      <c r="B94" s="2" t="s">
        <v>77</v>
      </c>
      <c r="C94" s="23">
        <v>92.66</v>
      </c>
      <c r="D94" s="23">
        <v>97.67</v>
      </c>
      <c r="E94" s="23">
        <v>82.92</v>
      </c>
      <c r="F94" s="23">
        <v>95.51</v>
      </c>
      <c r="G94" s="23">
        <v>75.93</v>
      </c>
      <c r="H94" s="23">
        <f>IFERROR(__xludf.DUMMYFUNCTION("ROUND(AVERAGE.WEIGHTED(C94:G94,C$13:G$13),2)"),87.95)</f>
        <v>87.95</v>
      </c>
      <c r="I94" s="23">
        <v>35.51</v>
      </c>
      <c r="J94" s="23">
        <v>54.48</v>
      </c>
      <c r="K94" s="23">
        <v>38.14</v>
      </c>
      <c r="L94" s="23">
        <f>IFERROR(__xludf.DUMMYFUNCTION("ROUND(AVERAGE.WEIGHTED(I94:K94,I$13:K$13),2)"),40.8)</f>
        <v>40.8</v>
      </c>
      <c r="M94" s="23">
        <v>85.08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>
      <c r="A95" s="1">
        <v>5.0</v>
      </c>
      <c r="B95" s="2" t="s">
        <v>78</v>
      </c>
      <c r="C95" s="23">
        <v>92.49</v>
      </c>
      <c r="D95" s="23">
        <v>98.1</v>
      </c>
      <c r="E95" s="23">
        <v>83.47</v>
      </c>
      <c r="F95" s="23">
        <v>95.23</v>
      </c>
      <c r="G95" s="23">
        <v>76.59</v>
      </c>
      <c r="H95" s="23">
        <f>IFERROR(__xludf.DUMMYFUNCTION("ROUND(AVERAGE.WEIGHTED(C95:G95,C$13:G$13),2)"),88.23)</f>
        <v>88.23</v>
      </c>
      <c r="I95" s="23">
        <v>37.87</v>
      </c>
      <c r="J95" s="23">
        <v>54.93</v>
      </c>
      <c r="K95" s="23">
        <v>38.58</v>
      </c>
      <c r="L95" s="23">
        <f>IFERROR(__xludf.DUMMYFUNCTION("ROUND(AVERAGE.WEIGHTED(I95:K95,I$13:K$13),2)"),42.1)</f>
        <v>42.1</v>
      </c>
      <c r="M95" s="23">
        <v>85.42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>
      <c r="A96" s="1">
        <v>5.0</v>
      </c>
      <c r="B96" s="2" t="s">
        <v>79</v>
      </c>
      <c r="C96" s="23">
        <v>92.4</v>
      </c>
      <c r="D96" s="23">
        <v>98.01</v>
      </c>
      <c r="E96" s="23">
        <v>82.87</v>
      </c>
      <c r="F96" s="23">
        <v>95.61</v>
      </c>
      <c r="G96" s="23">
        <v>73.89</v>
      </c>
      <c r="H96" s="23">
        <f>IFERROR(__xludf.DUMMYFUNCTION("ROUND(AVERAGE.WEIGHTED(C96:G96,C$13:G$13),2)"),87.86)</f>
        <v>87.86</v>
      </c>
      <c r="I96" s="23">
        <v>36.61</v>
      </c>
      <c r="J96" s="23">
        <v>54.78</v>
      </c>
      <c r="K96" s="23">
        <v>38.47</v>
      </c>
      <c r="L96" s="23">
        <f>IFERROR(__xludf.DUMMYFUNCTION("ROUND(AVERAGE.WEIGHTED(I96:K96,I$13:K$13),2)"),41.47)</f>
        <v>41.47</v>
      </c>
      <c r="M96" s="23">
        <v>85.04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>
      <c r="A97" s="1">
        <v>5.0</v>
      </c>
      <c r="B97" s="2" t="s">
        <v>80</v>
      </c>
      <c r="C97" s="23">
        <v>92.5</v>
      </c>
      <c r="D97" s="23">
        <v>97.74</v>
      </c>
      <c r="E97" s="23">
        <v>82.63</v>
      </c>
      <c r="F97" s="23">
        <v>95.43</v>
      </c>
      <c r="G97" s="23">
        <v>75.09</v>
      </c>
      <c r="H97" s="23">
        <f>IFERROR(__xludf.DUMMYFUNCTION("ROUND(AVERAGE.WEIGHTED(C97:G97,C$13:G$13),2)"),87.73)</f>
        <v>87.73</v>
      </c>
      <c r="I97" s="23">
        <v>38.58</v>
      </c>
      <c r="J97" s="23">
        <v>56.27</v>
      </c>
      <c r="K97" s="23">
        <v>35.52</v>
      </c>
      <c r="L97" s="23">
        <f>IFERROR(__xludf.DUMMYFUNCTION("ROUND(AVERAGE.WEIGHTED(I97:K97,I$13:K$13),2)"),41.75)</f>
        <v>41.75</v>
      </c>
      <c r="M97" s="23">
        <v>84.93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>
      <c r="A98" s="1">
        <v>5.0</v>
      </c>
      <c r="B98" s="2" t="s">
        <v>81</v>
      </c>
      <c r="C98" s="23">
        <v>91.73</v>
      </c>
      <c r="D98" s="23">
        <v>97.78</v>
      </c>
      <c r="E98" s="23">
        <v>82.14</v>
      </c>
      <c r="F98" s="23">
        <v>94.6</v>
      </c>
      <c r="G98" s="23">
        <v>74.61</v>
      </c>
      <c r="H98" s="23">
        <f>IFERROR(__xludf.DUMMYFUNCTION("ROUND(AVERAGE.WEIGHTED(C98:G98,C$13:G$13),2)"),87.19)</f>
        <v>87.19</v>
      </c>
      <c r="I98" s="23">
        <v>36.14</v>
      </c>
      <c r="J98" s="23">
        <v>51.49</v>
      </c>
      <c r="K98" s="23">
        <v>35.3</v>
      </c>
      <c r="L98" s="23">
        <f>IFERROR(__xludf.DUMMYFUNCTION("ROUND(AVERAGE.WEIGHTED(I98:K98,I$13:K$13),2)"),39.47)</f>
        <v>39.47</v>
      </c>
      <c r="M98" s="23">
        <v>84.29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>
      <c r="B877" s="29"/>
    </row>
    <row r="878">
      <c r="B878" s="29"/>
    </row>
    <row r="879">
      <c r="B879" s="29"/>
    </row>
    <row r="880">
      <c r="B880" s="29"/>
    </row>
    <row r="881">
      <c r="B881" s="29"/>
    </row>
    <row r="882">
      <c r="B882" s="29"/>
    </row>
    <row r="883">
      <c r="B883" s="29"/>
    </row>
    <row r="884">
      <c r="B884" s="29"/>
    </row>
    <row r="885">
      <c r="B885" s="29"/>
    </row>
    <row r="886">
      <c r="B886" s="29"/>
    </row>
    <row r="887">
      <c r="B887" s="29"/>
    </row>
    <row r="888">
      <c r="B888" s="29"/>
    </row>
    <row r="889">
      <c r="B889" s="29"/>
    </row>
    <row r="890">
      <c r="B890" s="29"/>
    </row>
    <row r="891">
      <c r="B891" s="29"/>
    </row>
    <row r="892">
      <c r="B892" s="29"/>
    </row>
    <row r="893">
      <c r="B893" s="29"/>
    </row>
    <row r="894">
      <c r="B894" s="29"/>
    </row>
    <row r="895">
      <c r="B895" s="29"/>
    </row>
    <row r="896">
      <c r="B896" s="29"/>
    </row>
    <row r="897">
      <c r="B897" s="29"/>
    </row>
    <row r="898">
      <c r="B898" s="29"/>
    </row>
    <row r="899">
      <c r="B899" s="29"/>
    </row>
    <row r="900">
      <c r="B900" s="29"/>
    </row>
    <row r="901">
      <c r="B901" s="29"/>
    </row>
    <row r="902">
      <c r="B902" s="29"/>
    </row>
    <row r="903">
      <c r="B903" s="29"/>
    </row>
    <row r="904">
      <c r="B904" s="29"/>
    </row>
    <row r="905">
      <c r="B905" s="29"/>
    </row>
    <row r="906">
      <c r="B906" s="29"/>
    </row>
    <row r="907">
      <c r="B907" s="29"/>
    </row>
    <row r="908">
      <c r="B908" s="29"/>
    </row>
    <row r="909">
      <c r="B909" s="29"/>
    </row>
    <row r="910">
      <c r="B910" s="29"/>
    </row>
    <row r="911">
      <c r="B911" s="29"/>
    </row>
    <row r="912">
      <c r="B912" s="29"/>
    </row>
    <row r="913">
      <c r="B913" s="29"/>
    </row>
    <row r="914">
      <c r="B914" s="29"/>
    </row>
    <row r="915">
      <c r="B915" s="29"/>
    </row>
    <row r="916">
      <c r="B916" s="29"/>
    </row>
    <row r="917">
      <c r="B917" s="29"/>
    </row>
    <row r="918">
      <c r="B918" s="29"/>
    </row>
    <row r="919">
      <c r="B919" s="29"/>
    </row>
    <row r="920">
      <c r="B920" s="29"/>
    </row>
    <row r="921">
      <c r="B921" s="29"/>
    </row>
    <row r="922">
      <c r="B922" s="29"/>
    </row>
    <row r="923">
      <c r="B923" s="29"/>
    </row>
    <row r="924">
      <c r="B924" s="29"/>
    </row>
    <row r="925">
      <c r="B925" s="29"/>
    </row>
    <row r="926">
      <c r="B926" s="29"/>
    </row>
    <row r="927">
      <c r="B927" s="29"/>
    </row>
    <row r="928">
      <c r="B928" s="29"/>
    </row>
    <row r="929">
      <c r="B929" s="29"/>
    </row>
    <row r="930">
      <c r="B930" s="29"/>
    </row>
    <row r="931">
      <c r="B931" s="29"/>
    </row>
    <row r="932">
      <c r="B932" s="29"/>
    </row>
    <row r="933">
      <c r="B933" s="29"/>
    </row>
    <row r="934">
      <c r="B934" s="29"/>
    </row>
    <row r="935">
      <c r="B935" s="29"/>
    </row>
    <row r="936">
      <c r="B936" s="29"/>
    </row>
    <row r="937">
      <c r="B937" s="29"/>
    </row>
    <row r="938">
      <c r="B938" s="29"/>
    </row>
    <row r="939">
      <c r="B939" s="29"/>
    </row>
    <row r="940">
      <c r="B940" s="29"/>
    </row>
    <row r="941">
      <c r="B941" s="29"/>
    </row>
    <row r="942">
      <c r="B942" s="29"/>
    </row>
    <row r="943">
      <c r="B943" s="29"/>
    </row>
    <row r="944">
      <c r="B944" s="29"/>
    </row>
    <row r="945">
      <c r="B945" s="29"/>
    </row>
    <row r="946">
      <c r="B946" s="29"/>
    </row>
    <row r="947">
      <c r="B947" s="29"/>
    </row>
    <row r="948">
      <c r="B948" s="29"/>
    </row>
    <row r="949">
      <c r="B949" s="29"/>
    </row>
    <row r="950">
      <c r="B950" s="29"/>
    </row>
    <row r="951">
      <c r="B951" s="29"/>
    </row>
    <row r="952">
      <c r="B952" s="29"/>
    </row>
    <row r="953">
      <c r="B953" s="29"/>
    </row>
    <row r="954">
      <c r="B954" s="29"/>
    </row>
    <row r="955">
      <c r="B955" s="29"/>
    </row>
    <row r="956">
      <c r="B956" s="29"/>
    </row>
    <row r="957">
      <c r="B957" s="29"/>
    </row>
    <row r="958">
      <c r="B958" s="29"/>
    </row>
    <row r="959">
      <c r="B959" s="29"/>
    </row>
    <row r="960">
      <c r="B960" s="29"/>
    </row>
    <row r="961">
      <c r="B961" s="29"/>
    </row>
    <row r="962">
      <c r="B962" s="29"/>
    </row>
    <row r="963">
      <c r="B963" s="29"/>
    </row>
    <row r="964">
      <c r="B964" s="29"/>
    </row>
    <row r="965">
      <c r="B965" s="29"/>
    </row>
    <row r="966">
      <c r="B966" s="29"/>
    </row>
    <row r="967">
      <c r="B967" s="29"/>
    </row>
    <row r="968">
      <c r="B968" s="29"/>
    </row>
    <row r="969">
      <c r="B969" s="29"/>
    </row>
    <row r="970">
      <c r="B970" s="29"/>
    </row>
    <row r="971">
      <c r="B971" s="29"/>
    </row>
    <row r="972">
      <c r="B972" s="29"/>
    </row>
    <row r="973">
      <c r="B973" s="29"/>
    </row>
    <row r="974">
      <c r="B974" s="29"/>
    </row>
    <row r="975">
      <c r="B975" s="29"/>
    </row>
    <row r="976">
      <c r="B976" s="29"/>
    </row>
    <row r="977">
      <c r="B977" s="29"/>
    </row>
    <row r="978">
      <c r="B978" s="29"/>
    </row>
  </sheetData>
  <drawing r:id="rId1"/>
</worksheet>
</file>